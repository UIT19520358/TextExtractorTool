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D:\Work\Freelance\TextInputter\data\Jul\"/>
    </mc:Choice>
  </mc:AlternateContent>
  <xr:revisionPtr revIDLastSave="0" documentId="13_ncr:1_{28430AED-0A9B-492B-9D92-CC656164CE63}" xr6:coauthVersionLast="47" xr6:coauthVersionMax="47" xr10:uidLastSave="{00000000-0000-0000-0000-000000000000}"/>
  <bookViews>
    <workbookView xWindow="-120" yWindow="-120" windowWidth="29040" windowHeight="15720" tabRatio="974" xr2:uid="{00000000-000D-0000-FFFF-FFFF00000000}"/>
  </bookViews>
  <sheets>
    <sheet name="Sheet1" sheetId="19" r:id="rId1"/>
    <sheet name="01-07" sheetId="7" r:id="rId2"/>
    <sheet name="02-07" sheetId="8" r:id="rId3"/>
    <sheet name="03-07" sheetId="9" r:id="rId4"/>
    <sheet name="04-07" sheetId="10" r:id="rId5"/>
    <sheet name="06-07" sheetId="11" r:id="rId6"/>
    <sheet name="07-07" sheetId="12" r:id="rId7"/>
    <sheet name="08-07" sheetId="13" r:id="rId8"/>
    <sheet name="09-07" sheetId="14" r:id="rId9"/>
    <sheet name="10-07" sheetId="15" r:id="rId10"/>
    <sheet name="11-07" sheetId="16" r:id="rId11"/>
    <sheet name="13-07" sheetId="17" r:id="rId12"/>
    <sheet name="14-07" sheetId="18" r:id="rId13"/>
    <sheet name="15-07" sheetId="20" r:id="rId14"/>
    <sheet name="16-07" sheetId="21" r:id="rId15"/>
    <sheet name="17-07" sheetId="22" r:id="rId16"/>
    <sheet name="18-07" sheetId="23" r:id="rId17"/>
    <sheet name="20-07" sheetId="24" r:id="rId18"/>
    <sheet name="21-07" sheetId="25" r:id="rId19"/>
    <sheet name="22-07" sheetId="26" r:id="rId20"/>
    <sheet name="23-07" sheetId="27" r:id="rId21"/>
    <sheet name="24-07" sheetId="28" r:id="rId22"/>
    <sheet name="25-07" sheetId="29" r:id="rId23"/>
    <sheet name="27-07" sheetId="30" r:id="rId24"/>
    <sheet name="28-07" sheetId="31" r:id="rId25"/>
    <sheet name="29-07" sheetId="32" r:id="rId26"/>
    <sheet name="30-07" sheetId="33" r:id="rId27"/>
    <sheet name="31-07" sheetId="34" r:id="rId28"/>
  </sheets>
  <definedNames>
    <definedName name="_xlnm._FilterDatabase" localSheetId="1" hidden="1">'01-07'!$A$2:$P$36</definedName>
    <definedName name="_xlnm._FilterDatabase" localSheetId="2" hidden="1">'02-07'!$A$2:$P$37</definedName>
    <definedName name="_xlnm._FilterDatabase" localSheetId="3" hidden="1">'03-07'!$A$2:$P$38</definedName>
    <definedName name="_xlnm._FilterDatabase" localSheetId="4" hidden="1">'04-07'!$A$2:$P$31</definedName>
    <definedName name="_xlnm._FilterDatabase" localSheetId="5" hidden="1">'06-07'!$A$2:$P$60</definedName>
    <definedName name="_xlnm._FilterDatabase" localSheetId="6" hidden="1">'07-07'!$A$2:$P$35</definedName>
    <definedName name="_xlnm._FilterDatabase" localSheetId="7" hidden="1">'08-07'!$A$2:$P$41</definedName>
    <definedName name="_xlnm._FilterDatabase" localSheetId="8" hidden="1">'09-07'!$A$2:$P$53</definedName>
    <definedName name="_xlnm._FilterDatabase" localSheetId="9" hidden="1">'10-07'!$A$2:$P$26</definedName>
    <definedName name="_xlnm._FilterDatabase" localSheetId="10" hidden="1">'11-07'!$A$2:$P$29</definedName>
    <definedName name="_xlnm._FilterDatabase" localSheetId="11" hidden="1">'13-07'!$A$2:$P$35</definedName>
    <definedName name="_xlnm._FilterDatabase" localSheetId="12" hidden="1">'14-07'!$A$2:$P$27</definedName>
    <definedName name="_xlnm._FilterDatabase" localSheetId="13" hidden="1">'15-07'!$A$2:$P$24</definedName>
    <definedName name="_xlnm._FilterDatabase" localSheetId="14" hidden="1">'16-07'!$A$2:$P$38</definedName>
    <definedName name="_xlnm._FilterDatabase" localSheetId="15" hidden="1">'17-07'!$A$2:$P$47</definedName>
    <definedName name="_xlnm._FilterDatabase" localSheetId="16" hidden="1">'18-07'!$A$2:$P$37</definedName>
    <definedName name="_xlnm._FilterDatabase" localSheetId="17" hidden="1">'20-07'!$A$2:$P$37</definedName>
    <definedName name="_xlnm._FilterDatabase" localSheetId="18" hidden="1">'21-07'!$A$2:$P$27</definedName>
    <definedName name="_xlnm._FilterDatabase" localSheetId="19" hidden="1">'22-07'!$A$2:$P$33</definedName>
    <definedName name="_xlnm._FilterDatabase" localSheetId="20" hidden="1">'23-07'!$A$2:$P$46</definedName>
    <definedName name="_xlnm._FilterDatabase" localSheetId="21" hidden="1">'24-07'!$A$2:$P$21</definedName>
    <definedName name="_xlnm._FilterDatabase" localSheetId="22" hidden="1">'25-07'!$A$2:$P$26</definedName>
    <definedName name="_xlnm._FilterDatabase" localSheetId="23" hidden="1">'27-07'!$A$2:$P$30</definedName>
    <definedName name="_xlnm._FilterDatabase" localSheetId="24" hidden="1">'28-07'!$A$2:$P$33</definedName>
    <definedName name="_xlnm._FilterDatabase" localSheetId="25" hidden="1">'29-07'!$A$2:$P$28</definedName>
    <definedName name="_xlnm._FilterDatabase" localSheetId="26" hidden="1">'30-07'!$A$2:$P$38</definedName>
    <definedName name="_xlnm._FilterDatabase" localSheetId="27" hidden="1">'31-07'!$A$2:$P$31</definedName>
    <definedName name="_xlnm._FilterDatabase" localSheetId="0" hidden="1">Sheet1!$A$2:$E$29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6" i="34" l="1"/>
  <c r="R22" i="34"/>
  <c r="R21" i="34"/>
  <c r="R18" i="34"/>
  <c r="R15" i="34"/>
  <c r="R12" i="34"/>
  <c r="R10" i="34"/>
  <c r="R4" i="34"/>
  <c r="R3" i="34"/>
  <c r="R8" i="34"/>
  <c r="I31" i="34"/>
  <c r="I8" i="34"/>
  <c r="I30" i="34"/>
  <c r="I29" i="34"/>
  <c r="I20" i="34"/>
  <c r="I19" i="34"/>
  <c r="I7" i="34"/>
  <c r="I28" i="34"/>
  <c r="I6" i="34"/>
  <c r="I18" i="34"/>
  <c r="I27" i="34"/>
  <c r="I26" i="34"/>
  <c r="I17" i="34"/>
  <c r="I16" i="34"/>
  <c r="I25" i="34"/>
  <c r="I15" i="34"/>
  <c r="I14" i="34"/>
  <c r="I13" i="34"/>
  <c r="I5" i="34"/>
  <c r="I4" i="34"/>
  <c r="I12" i="34"/>
  <c r="I11" i="34"/>
  <c r="I24" i="34"/>
  <c r="I10" i="34"/>
  <c r="I3" i="34"/>
  <c r="I23" i="34"/>
  <c r="I22" i="34"/>
  <c r="I9" i="34"/>
  <c r="I21" i="34"/>
  <c r="M53" i="34"/>
  <c r="L53" i="34" s="1"/>
  <c r="M52" i="34"/>
  <c r="M57" i="34" s="1"/>
  <c r="L52" i="34"/>
  <c r="M45" i="34"/>
  <c r="M44" i="34"/>
  <c r="M49" i="34" s="1"/>
  <c r="L44" i="34"/>
  <c r="E38" i="34"/>
  <c r="M37" i="34"/>
  <c r="L37" i="34" s="1"/>
  <c r="M36" i="34"/>
  <c r="M41" i="34" s="1"/>
  <c r="L36" i="34"/>
  <c r="H36" i="34"/>
  <c r="E36" i="34"/>
  <c r="E39" i="34" s="1"/>
  <c r="M38" i="34" s="1"/>
  <c r="L38" i="34" s="1"/>
  <c r="H35" i="34"/>
  <c r="H34" i="34"/>
  <c r="Q33" i="34"/>
  <c r="P33" i="34"/>
  <c r="O33" i="34"/>
  <c r="N33" i="34"/>
  <c r="M33" i="34"/>
  <c r="L33" i="34"/>
  <c r="K33" i="34"/>
  <c r="J33" i="34"/>
  <c r="H33" i="34"/>
  <c r="G33" i="34"/>
  <c r="D33" i="34"/>
  <c r="C38" i="34"/>
  <c r="D3" i="19" a="1"/>
  <c r="I3" i="7"/>
  <c r="I4" i="7"/>
  <c r="I5" i="7"/>
  <c r="I38" i="7" s="1"/>
  <c r="R5" i="7"/>
  <c r="I6" i="7"/>
  <c r="I7" i="7"/>
  <c r="I8" i="7"/>
  <c r="I9" i="7"/>
  <c r="R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R24" i="7"/>
  <c r="I25" i="7"/>
  <c r="I26" i="7"/>
  <c r="R26" i="7"/>
  <c r="I27" i="7"/>
  <c r="I28" i="7"/>
  <c r="I29" i="7"/>
  <c r="I30" i="7"/>
  <c r="I31" i="7"/>
  <c r="I32" i="7"/>
  <c r="I33" i="7"/>
  <c r="I34" i="7"/>
  <c r="I35" i="7"/>
  <c r="I36" i="7"/>
  <c r="D38" i="7"/>
  <c r="G38" i="7"/>
  <c r="H38" i="7"/>
  <c r="J38" i="7"/>
  <c r="K38" i="7"/>
  <c r="L38" i="7"/>
  <c r="M38" i="7"/>
  <c r="N38" i="7"/>
  <c r="O38" i="7"/>
  <c r="P38" i="7"/>
  <c r="Q38" i="7"/>
  <c r="H39" i="7"/>
  <c r="L42" i="7" s="1"/>
  <c r="H40" i="7"/>
  <c r="C41" i="7"/>
  <c r="C44" i="7" s="1"/>
  <c r="C48" i="7" s="1"/>
  <c r="P44" i="7" s="1"/>
  <c r="E41" i="7"/>
  <c r="H41" i="7"/>
  <c r="L41" i="7"/>
  <c r="L46" i="7" s="1"/>
  <c r="P41" i="7" s="1"/>
  <c r="M41" i="7"/>
  <c r="M42" i="7"/>
  <c r="C43" i="7"/>
  <c r="E43" i="7"/>
  <c r="E44" i="7"/>
  <c r="M46" i="7"/>
  <c r="L49" i="7"/>
  <c r="M49" i="7"/>
  <c r="M54" i="7" s="1"/>
  <c r="M50" i="7"/>
  <c r="L50" i="7" s="1"/>
  <c r="M51" i="7"/>
  <c r="L51" i="7" s="1"/>
  <c r="L57" i="7"/>
  <c r="M57" i="7"/>
  <c r="M62" i="7" s="1"/>
  <c r="L58" i="7"/>
  <c r="M58" i="7"/>
  <c r="L62" i="7"/>
  <c r="P43" i="7" s="1"/>
  <c r="I3" i="8"/>
  <c r="I39" i="8" s="1"/>
  <c r="I4" i="8"/>
  <c r="I5" i="8"/>
  <c r="I6" i="8"/>
  <c r="C42" i="8" s="1"/>
  <c r="C45" i="8" s="1"/>
  <c r="C49" i="8" s="1"/>
  <c r="P45" i="8" s="1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D39" i="8"/>
  <c r="G39" i="8"/>
  <c r="H39" i="8"/>
  <c r="J39" i="8"/>
  <c r="K39" i="8"/>
  <c r="L39" i="8"/>
  <c r="M39" i="8"/>
  <c r="N39" i="8"/>
  <c r="O39" i="8"/>
  <c r="P39" i="8"/>
  <c r="Q39" i="8"/>
  <c r="H40" i="8"/>
  <c r="L51" i="8" s="1"/>
  <c r="H41" i="8"/>
  <c r="E42" i="8"/>
  <c r="H42" i="8"/>
  <c r="L42" i="8"/>
  <c r="M42" i="8"/>
  <c r="M43" i="8"/>
  <c r="L43" i="8" s="1"/>
  <c r="C44" i="8"/>
  <c r="E44" i="8"/>
  <c r="M44" i="8"/>
  <c r="L44" i="8" s="1"/>
  <c r="E45" i="8"/>
  <c r="M47" i="8"/>
  <c r="L50" i="8"/>
  <c r="L55" i="8" s="1"/>
  <c r="P43" i="8" s="1"/>
  <c r="M50" i="8"/>
  <c r="M51" i="8"/>
  <c r="M55" i="8"/>
  <c r="L58" i="8"/>
  <c r="M58" i="8"/>
  <c r="M63" i="8" s="1"/>
  <c r="L59" i="8"/>
  <c r="M59" i="8"/>
  <c r="L63" i="8"/>
  <c r="P44" i="8" s="1"/>
  <c r="I3" i="9"/>
  <c r="C43" i="9" s="1"/>
  <c r="C46" i="9" s="1"/>
  <c r="C50" i="9" s="1"/>
  <c r="P46" i="9" s="1"/>
  <c r="I4" i="9"/>
  <c r="I5" i="9"/>
  <c r="I6" i="9"/>
  <c r="I7" i="9"/>
  <c r="I8" i="9"/>
  <c r="I40" i="9" s="1"/>
  <c r="R8" i="9"/>
  <c r="I9" i="9"/>
  <c r="I10" i="9"/>
  <c r="R10" i="9"/>
  <c r="I11" i="9"/>
  <c r="I12" i="9"/>
  <c r="I13" i="9"/>
  <c r="I14" i="9"/>
  <c r="I15" i="9"/>
  <c r="R15" i="9"/>
  <c r="I16" i="9"/>
  <c r="I17" i="9"/>
  <c r="R17" i="9"/>
  <c r="I18" i="9"/>
  <c r="I19" i="9"/>
  <c r="I20" i="9"/>
  <c r="R20" i="9"/>
  <c r="I21" i="9"/>
  <c r="R21" i="9"/>
  <c r="I22" i="9"/>
  <c r="I23" i="9"/>
  <c r="I24" i="9"/>
  <c r="I25" i="9"/>
  <c r="I26" i="9"/>
  <c r="I27" i="9"/>
  <c r="R27" i="9"/>
  <c r="I28" i="9"/>
  <c r="I29" i="9"/>
  <c r="I30" i="9"/>
  <c r="R30" i="9"/>
  <c r="I31" i="9"/>
  <c r="R31" i="9"/>
  <c r="I32" i="9"/>
  <c r="I33" i="9"/>
  <c r="I34" i="9"/>
  <c r="I35" i="9"/>
  <c r="I36" i="9"/>
  <c r="I37" i="9"/>
  <c r="I38" i="9"/>
  <c r="D40" i="9"/>
  <c r="G40" i="9"/>
  <c r="H40" i="9"/>
  <c r="J40" i="9"/>
  <c r="K40" i="9"/>
  <c r="L40" i="9"/>
  <c r="M40" i="9"/>
  <c r="N40" i="9"/>
  <c r="O40" i="9"/>
  <c r="P40" i="9"/>
  <c r="Q40" i="9"/>
  <c r="H41" i="9"/>
  <c r="L60" i="9" s="1"/>
  <c r="L64" i="9" s="1"/>
  <c r="P45" i="9" s="1"/>
  <c r="H42" i="9"/>
  <c r="E43" i="9"/>
  <c r="E46" i="9" s="1"/>
  <c r="M45" i="9" s="1"/>
  <c r="L45" i="9" s="1"/>
  <c r="H43" i="9"/>
  <c r="L43" i="9"/>
  <c r="M43" i="9"/>
  <c r="M48" i="9" s="1"/>
  <c r="L44" i="9"/>
  <c r="L48" i="9" s="1"/>
  <c r="P43" i="9" s="1"/>
  <c r="P47" i="9" s="1"/>
  <c r="M44" i="9"/>
  <c r="C45" i="9"/>
  <c r="E45" i="9"/>
  <c r="L51" i="9"/>
  <c r="M51" i="9"/>
  <c r="M56" i="9" s="1"/>
  <c r="L52" i="9"/>
  <c r="M52" i="9"/>
  <c r="L56" i="9"/>
  <c r="P44" i="9" s="1"/>
  <c r="L59" i="9"/>
  <c r="M59" i="9"/>
  <c r="M64" i="9" s="1"/>
  <c r="M60" i="9"/>
  <c r="I3" i="10"/>
  <c r="C36" i="10" s="1"/>
  <c r="C39" i="10" s="1"/>
  <c r="C43" i="10" s="1"/>
  <c r="P39" i="10" s="1"/>
  <c r="R3" i="10"/>
  <c r="I4" i="10"/>
  <c r="I5" i="10"/>
  <c r="R5" i="10"/>
  <c r="I6" i="10"/>
  <c r="I7" i="10"/>
  <c r="R7" i="10"/>
  <c r="I8" i="10"/>
  <c r="I9" i="10"/>
  <c r="I33" i="10" s="1"/>
  <c r="I10" i="10"/>
  <c r="I11" i="10"/>
  <c r="I12" i="10"/>
  <c r="I13" i="10"/>
  <c r="I14" i="10"/>
  <c r="R14" i="10"/>
  <c r="I15" i="10"/>
  <c r="I16" i="10"/>
  <c r="I17" i="10"/>
  <c r="R17" i="10"/>
  <c r="I18" i="10"/>
  <c r="I19" i="10"/>
  <c r="I20" i="10"/>
  <c r="I21" i="10"/>
  <c r="I22" i="10"/>
  <c r="I23" i="10"/>
  <c r="I24" i="10"/>
  <c r="I25" i="10"/>
  <c r="I26" i="10"/>
  <c r="R26" i="10"/>
  <c r="I27" i="10"/>
  <c r="I28" i="10"/>
  <c r="I29" i="10"/>
  <c r="I30" i="10"/>
  <c r="I31" i="10"/>
  <c r="D33" i="10"/>
  <c r="G33" i="10"/>
  <c r="H33" i="10"/>
  <c r="J33" i="10"/>
  <c r="K33" i="10"/>
  <c r="L33" i="10"/>
  <c r="M33" i="10"/>
  <c r="N33" i="10"/>
  <c r="O33" i="10"/>
  <c r="P33" i="10"/>
  <c r="Q33" i="10"/>
  <c r="H34" i="10"/>
  <c r="H35" i="10"/>
  <c r="L37" i="10" s="1"/>
  <c r="L41" i="10" s="1"/>
  <c r="P36" i="10" s="1"/>
  <c r="E36" i="10"/>
  <c r="E39" i="10" s="1"/>
  <c r="M46" i="10" s="1"/>
  <c r="L46" i="10" s="1"/>
  <c r="L36" i="10"/>
  <c r="M36" i="10"/>
  <c r="M41" i="10" s="1"/>
  <c r="M37" i="10"/>
  <c r="C38" i="10"/>
  <c r="E38" i="10"/>
  <c r="L44" i="10"/>
  <c r="M44" i="10"/>
  <c r="L45" i="10"/>
  <c r="M45" i="10"/>
  <c r="M49" i="10"/>
  <c r="L52" i="10"/>
  <c r="M52" i="10"/>
  <c r="M57" i="10" s="1"/>
  <c r="L53" i="10"/>
  <c r="M53" i="10"/>
  <c r="L57" i="10"/>
  <c r="P38" i="10" s="1"/>
  <c r="I3" i="11"/>
  <c r="C65" i="11" s="1"/>
  <c r="C68" i="11" s="1"/>
  <c r="C72" i="11" s="1"/>
  <c r="P69" i="11" s="1"/>
  <c r="I4" i="11"/>
  <c r="I5" i="11"/>
  <c r="I6" i="11"/>
  <c r="I7" i="11"/>
  <c r="I8" i="11"/>
  <c r="I9" i="11"/>
  <c r="I10" i="11"/>
  <c r="R10" i="11"/>
  <c r="I11" i="11"/>
  <c r="I12" i="11"/>
  <c r="I13" i="11"/>
  <c r="R13" i="11"/>
  <c r="I14" i="11"/>
  <c r="I15" i="11"/>
  <c r="I16" i="11"/>
  <c r="R16" i="11"/>
  <c r="I17" i="11"/>
  <c r="R17" i="11"/>
  <c r="I18" i="11"/>
  <c r="R18" i="11"/>
  <c r="I19" i="11"/>
  <c r="I20" i="11"/>
  <c r="I21" i="11"/>
  <c r="R21" i="11"/>
  <c r="I22" i="11"/>
  <c r="I23" i="11"/>
  <c r="I24" i="11"/>
  <c r="I25" i="11"/>
  <c r="R25" i="11"/>
  <c r="I26" i="11"/>
  <c r="I27" i="11"/>
  <c r="R27" i="11"/>
  <c r="I28" i="11"/>
  <c r="I29" i="11"/>
  <c r="I30" i="11"/>
  <c r="I31" i="11"/>
  <c r="I32" i="11"/>
  <c r="I33" i="11"/>
  <c r="R33" i="11"/>
  <c r="I34" i="11"/>
  <c r="R34" i="11"/>
  <c r="I35" i="11"/>
  <c r="I36" i="11"/>
  <c r="I37" i="11"/>
  <c r="R37" i="11"/>
  <c r="I38" i="11"/>
  <c r="I39" i="11"/>
  <c r="I40" i="11"/>
  <c r="I41" i="11"/>
  <c r="I42" i="11"/>
  <c r="I43" i="11"/>
  <c r="I44" i="11"/>
  <c r="I45" i="11"/>
  <c r="I46" i="11"/>
  <c r="I47" i="11"/>
  <c r="I48" i="11"/>
  <c r="I49" i="11"/>
  <c r="I50" i="11"/>
  <c r="I51" i="11"/>
  <c r="R51" i="11"/>
  <c r="I52" i="11"/>
  <c r="I53" i="11"/>
  <c r="I54" i="11"/>
  <c r="I55" i="11"/>
  <c r="I56" i="11"/>
  <c r="I57" i="11"/>
  <c r="I58" i="11"/>
  <c r="R58" i="11"/>
  <c r="I59" i="11"/>
  <c r="I60" i="11"/>
  <c r="D62" i="11"/>
  <c r="G62" i="11"/>
  <c r="H62" i="11"/>
  <c r="J62" i="11"/>
  <c r="K62" i="11"/>
  <c r="L62" i="11"/>
  <c r="M62" i="11"/>
  <c r="N62" i="11"/>
  <c r="O62" i="11"/>
  <c r="P62" i="11"/>
  <c r="Q62" i="11"/>
  <c r="H63" i="11"/>
  <c r="H64" i="11"/>
  <c r="L74" i="11" s="1"/>
  <c r="L78" i="11" s="1"/>
  <c r="P66" i="11" s="1"/>
  <c r="E65" i="11"/>
  <c r="H65" i="11"/>
  <c r="L65" i="11"/>
  <c r="M65" i="11"/>
  <c r="M70" i="11" s="1"/>
  <c r="L66" i="11"/>
  <c r="M66" i="11"/>
  <c r="C67" i="11"/>
  <c r="E67" i="11"/>
  <c r="E68" i="11"/>
  <c r="M67" i="11" s="1"/>
  <c r="L67" i="11" s="1"/>
  <c r="L70" i="11" s="1"/>
  <c r="P65" i="11" s="1"/>
  <c r="P70" i="11" s="1"/>
  <c r="L73" i="11"/>
  <c r="M73" i="11"/>
  <c r="M78" i="11" s="1"/>
  <c r="M74" i="11"/>
  <c r="L81" i="11"/>
  <c r="L86" i="11" s="1"/>
  <c r="P67" i="11" s="1"/>
  <c r="M81" i="11"/>
  <c r="L82" i="11"/>
  <c r="M82" i="11"/>
  <c r="M86" i="11"/>
  <c r="L89" i="11"/>
  <c r="M89" i="11"/>
  <c r="M94" i="11" s="1"/>
  <c r="M90" i="11"/>
  <c r="L90" i="11" s="1"/>
  <c r="L94" i="11" s="1"/>
  <c r="P68" i="11" s="1"/>
  <c r="I3" i="12"/>
  <c r="C40" i="12" s="1"/>
  <c r="C43" i="12" s="1"/>
  <c r="C47" i="12" s="1"/>
  <c r="P43" i="12" s="1"/>
  <c r="R3" i="12"/>
  <c r="I4" i="12"/>
  <c r="I5" i="12"/>
  <c r="R5" i="12"/>
  <c r="I6" i="12"/>
  <c r="I7" i="12"/>
  <c r="I8" i="12"/>
  <c r="I9" i="12"/>
  <c r="I10" i="12"/>
  <c r="I11" i="12"/>
  <c r="R11" i="12"/>
  <c r="I12" i="12"/>
  <c r="I13" i="12"/>
  <c r="I14" i="12"/>
  <c r="I15" i="12"/>
  <c r="I16" i="12"/>
  <c r="I17" i="12"/>
  <c r="R17" i="12"/>
  <c r="I18" i="12"/>
  <c r="I19" i="12"/>
  <c r="R19" i="12"/>
  <c r="I20" i="12"/>
  <c r="I21" i="12"/>
  <c r="R21" i="12"/>
  <c r="I22" i="12"/>
  <c r="I23" i="12"/>
  <c r="R23" i="12"/>
  <c r="I24" i="12"/>
  <c r="I25" i="12"/>
  <c r="I26" i="12"/>
  <c r="I27" i="12"/>
  <c r="R27" i="12"/>
  <c r="I28" i="12"/>
  <c r="I29" i="12"/>
  <c r="I30" i="12"/>
  <c r="I31" i="12"/>
  <c r="R31" i="12"/>
  <c r="I32" i="12"/>
  <c r="R32" i="12"/>
  <c r="I33" i="12"/>
  <c r="R33" i="12"/>
  <c r="I34" i="12"/>
  <c r="I35" i="12"/>
  <c r="C42" i="12" s="1"/>
  <c r="D37" i="12"/>
  <c r="G37" i="12"/>
  <c r="H37" i="12"/>
  <c r="J37" i="12"/>
  <c r="K37" i="12"/>
  <c r="L37" i="12"/>
  <c r="M37" i="12"/>
  <c r="N37" i="12"/>
  <c r="O37" i="12"/>
  <c r="P37" i="12"/>
  <c r="Q37" i="12"/>
  <c r="H38" i="12"/>
  <c r="H39" i="12"/>
  <c r="E40" i="12"/>
  <c r="E43" i="12" s="1"/>
  <c r="M50" i="12" s="1"/>
  <c r="L50" i="12" s="1"/>
  <c r="L40" i="12"/>
  <c r="L45" i="12" s="1"/>
  <c r="P40" i="12" s="1"/>
  <c r="M40" i="12"/>
  <c r="L41" i="12"/>
  <c r="M41" i="12"/>
  <c r="E42" i="12"/>
  <c r="M45" i="12"/>
  <c r="L48" i="12"/>
  <c r="M48" i="12"/>
  <c r="M53" i="12" s="1"/>
  <c r="M49" i="12"/>
  <c r="L49" i="12" s="1"/>
  <c r="L56" i="12"/>
  <c r="M56" i="12"/>
  <c r="L57" i="12"/>
  <c r="M57" i="12"/>
  <c r="L61" i="12"/>
  <c r="P42" i="12" s="1"/>
  <c r="M61" i="12"/>
  <c r="I3" i="13"/>
  <c r="I43" i="13" s="1"/>
  <c r="R3" i="13"/>
  <c r="I4" i="13"/>
  <c r="R4" i="13"/>
  <c r="I5" i="13"/>
  <c r="I6" i="13"/>
  <c r="I7" i="13"/>
  <c r="R7" i="13"/>
  <c r="I8" i="13"/>
  <c r="C46" i="13" s="1"/>
  <c r="C49" i="13" s="1"/>
  <c r="C53" i="13" s="1"/>
  <c r="P50" i="13" s="1"/>
  <c r="I9" i="13"/>
  <c r="I10" i="13"/>
  <c r="R10" i="13"/>
  <c r="I11" i="13"/>
  <c r="I12" i="13"/>
  <c r="R12" i="13"/>
  <c r="I13" i="13"/>
  <c r="I14" i="13"/>
  <c r="R14" i="13"/>
  <c r="I15" i="13"/>
  <c r="I16" i="13"/>
  <c r="I17" i="13"/>
  <c r="R17" i="13"/>
  <c r="I18" i="13"/>
  <c r="I19" i="13"/>
  <c r="I20" i="13"/>
  <c r="I21" i="13"/>
  <c r="R21" i="13"/>
  <c r="I22" i="13"/>
  <c r="I23" i="13"/>
  <c r="R23" i="13"/>
  <c r="I24" i="13"/>
  <c r="I25" i="13"/>
  <c r="R25" i="13"/>
  <c r="I26" i="13"/>
  <c r="I27" i="13"/>
  <c r="I28" i="13"/>
  <c r="R28" i="13"/>
  <c r="I29" i="13"/>
  <c r="I30" i="13"/>
  <c r="I31" i="13"/>
  <c r="I32" i="13"/>
  <c r="I33" i="13"/>
  <c r="R33" i="13"/>
  <c r="I34" i="13"/>
  <c r="R34" i="13"/>
  <c r="I35" i="13"/>
  <c r="I36" i="13"/>
  <c r="I37" i="13"/>
  <c r="I38" i="13"/>
  <c r="I39" i="13"/>
  <c r="I40" i="13"/>
  <c r="I41" i="13"/>
  <c r="C48" i="13" s="1"/>
  <c r="D43" i="13"/>
  <c r="G43" i="13"/>
  <c r="H43" i="13"/>
  <c r="J43" i="13"/>
  <c r="K43" i="13"/>
  <c r="L43" i="13"/>
  <c r="M43" i="13"/>
  <c r="N43" i="13"/>
  <c r="O43" i="13"/>
  <c r="P43" i="13"/>
  <c r="Q43" i="13"/>
  <c r="H44" i="13"/>
  <c r="H45" i="13"/>
  <c r="E46" i="13"/>
  <c r="L46" i="13"/>
  <c r="L51" i="13" s="1"/>
  <c r="P46" i="13" s="1"/>
  <c r="M46" i="13"/>
  <c r="L47" i="13"/>
  <c r="M47" i="13"/>
  <c r="E48" i="13"/>
  <c r="E49" i="13"/>
  <c r="M51" i="13"/>
  <c r="L54" i="13"/>
  <c r="M54" i="13"/>
  <c r="L55" i="13"/>
  <c r="M55" i="13"/>
  <c r="M56" i="13"/>
  <c r="L56" i="13" s="1"/>
  <c r="M59" i="13"/>
  <c r="L62" i="13"/>
  <c r="M62" i="13"/>
  <c r="M67" i="13" s="1"/>
  <c r="L63" i="13"/>
  <c r="M63" i="13"/>
  <c r="L67" i="13"/>
  <c r="P48" i="13" s="1"/>
  <c r="L70" i="13"/>
  <c r="M70" i="13"/>
  <c r="M71" i="13"/>
  <c r="L71" i="13" s="1"/>
  <c r="M75" i="13"/>
  <c r="I3" i="14"/>
  <c r="C58" i="14" s="1"/>
  <c r="C61" i="14" s="1"/>
  <c r="C65" i="14" s="1"/>
  <c r="P62" i="14" s="1"/>
  <c r="I4" i="14"/>
  <c r="I5" i="14"/>
  <c r="I6" i="14"/>
  <c r="R6" i="14"/>
  <c r="I7" i="14"/>
  <c r="I8" i="14"/>
  <c r="R8" i="14"/>
  <c r="I9" i="14"/>
  <c r="R9" i="14"/>
  <c r="I10" i="14"/>
  <c r="I11" i="14"/>
  <c r="I12" i="14"/>
  <c r="I13" i="14"/>
  <c r="I14" i="14"/>
  <c r="I15" i="14"/>
  <c r="R15" i="14"/>
  <c r="I16" i="14"/>
  <c r="I17" i="14"/>
  <c r="I18" i="14"/>
  <c r="I19" i="14"/>
  <c r="I20" i="14"/>
  <c r="I21" i="14"/>
  <c r="I22" i="14"/>
  <c r="R22" i="14"/>
  <c r="I23" i="14"/>
  <c r="I24" i="14"/>
  <c r="R24" i="14"/>
  <c r="I25" i="14"/>
  <c r="I26" i="14"/>
  <c r="I27" i="14"/>
  <c r="I28" i="14"/>
  <c r="I29" i="14"/>
  <c r="I30" i="14"/>
  <c r="I31" i="14"/>
  <c r="R31" i="14"/>
  <c r="I32" i="14"/>
  <c r="I33" i="14"/>
  <c r="R33" i="14"/>
  <c r="I34" i="14"/>
  <c r="R34" i="14"/>
  <c r="I35" i="14"/>
  <c r="I36" i="14"/>
  <c r="R36" i="14"/>
  <c r="I37" i="14"/>
  <c r="I38" i="14"/>
  <c r="R38" i="14"/>
  <c r="I39" i="14"/>
  <c r="I40" i="14"/>
  <c r="I41" i="14"/>
  <c r="I42" i="14"/>
  <c r="I43" i="14"/>
  <c r="R43" i="14"/>
  <c r="I44" i="14"/>
  <c r="R44" i="14"/>
  <c r="I45" i="14"/>
  <c r="R45" i="14"/>
  <c r="I46" i="14"/>
  <c r="I47" i="14"/>
  <c r="I48" i="14"/>
  <c r="I49" i="14"/>
  <c r="I50" i="14"/>
  <c r="I51" i="14"/>
  <c r="R51" i="14"/>
  <c r="I52" i="14"/>
  <c r="R52" i="14"/>
  <c r="I53" i="14"/>
  <c r="D55" i="14"/>
  <c r="G55" i="14"/>
  <c r="H55" i="14"/>
  <c r="J55" i="14"/>
  <c r="K55" i="14"/>
  <c r="L55" i="14"/>
  <c r="M55" i="14"/>
  <c r="N55" i="14"/>
  <c r="O55" i="14"/>
  <c r="P55" i="14"/>
  <c r="Q55" i="14"/>
  <c r="H56" i="14"/>
  <c r="H57" i="14"/>
  <c r="E58" i="14"/>
  <c r="H58" i="14"/>
  <c r="L75" i="14" s="1"/>
  <c r="L58" i="14"/>
  <c r="M58" i="14"/>
  <c r="M63" i="14" s="1"/>
  <c r="M59" i="14"/>
  <c r="L59" i="14" s="1"/>
  <c r="L63" i="14" s="1"/>
  <c r="P58" i="14" s="1"/>
  <c r="C60" i="14"/>
  <c r="E60" i="14"/>
  <c r="E61" i="14"/>
  <c r="L66" i="14"/>
  <c r="M66" i="14"/>
  <c r="M67" i="14"/>
  <c r="L67" i="14" s="1"/>
  <c r="M68" i="14"/>
  <c r="L68" i="14" s="1"/>
  <c r="M71" i="14"/>
  <c r="L74" i="14"/>
  <c r="L79" i="14" s="1"/>
  <c r="P60" i="14" s="1"/>
  <c r="M74" i="14"/>
  <c r="M79" i="14" s="1"/>
  <c r="M75" i="14"/>
  <c r="L82" i="14"/>
  <c r="M82" i="14"/>
  <c r="M83" i="14"/>
  <c r="L83" i="14" s="1"/>
  <c r="L87" i="14" s="1"/>
  <c r="P61" i="14" s="1"/>
  <c r="M87" i="14"/>
  <c r="I3" i="15"/>
  <c r="C31" i="15" s="1"/>
  <c r="C34" i="15" s="1"/>
  <c r="C38" i="15" s="1"/>
  <c r="P35" i="15" s="1"/>
  <c r="I4" i="15"/>
  <c r="I5" i="15"/>
  <c r="I6" i="15"/>
  <c r="R6" i="15"/>
  <c r="I7" i="15"/>
  <c r="R7" i="15"/>
  <c r="I8" i="15"/>
  <c r="I9" i="15"/>
  <c r="R9" i="15"/>
  <c r="I10" i="15"/>
  <c r="I11" i="15"/>
  <c r="R11" i="15"/>
  <c r="I12" i="15"/>
  <c r="R12" i="15"/>
  <c r="I13" i="15"/>
  <c r="R13" i="15"/>
  <c r="I14" i="15"/>
  <c r="I15" i="15"/>
  <c r="R15" i="15"/>
  <c r="I16" i="15"/>
  <c r="I17" i="15"/>
  <c r="I18" i="15"/>
  <c r="R18" i="15"/>
  <c r="I19" i="15"/>
  <c r="R19" i="15"/>
  <c r="I20" i="15"/>
  <c r="I21" i="15"/>
  <c r="I22" i="15"/>
  <c r="I23" i="15"/>
  <c r="I24" i="15"/>
  <c r="R24" i="15"/>
  <c r="I25" i="15"/>
  <c r="I26" i="15"/>
  <c r="R26" i="15"/>
  <c r="D28" i="15"/>
  <c r="G28" i="15"/>
  <c r="H28" i="15"/>
  <c r="J28" i="15"/>
  <c r="K28" i="15"/>
  <c r="L28" i="15"/>
  <c r="M28" i="15"/>
  <c r="N28" i="15"/>
  <c r="O28" i="15"/>
  <c r="P28" i="15"/>
  <c r="Q28" i="15"/>
  <c r="H29" i="15"/>
  <c r="L48" i="15" s="1"/>
  <c r="L52" i="15" s="1"/>
  <c r="P33" i="15" s="1"/>
  <c r="H30" i="15"/>
  <c r="E31" i="15"/>
  <c r="E34" i="15" s="1"/>
  <c r="M33" i="15" s="1"/>
  <c r="L33" i="15" s="1"/>
  <c r="H31" i="15"/>
  <c r="L31" i="15"/>
  <c r="M31" i="15"/>
  <c r="M32" i="15"/>
  <c r="L32" i="15" s="1"/>
  <c r="C33" i="15"/>
  <c r="E33" i="15"/>
  <c r="M36" i="15"/>
  <c r="L39" i="15"/>
  <c r="M39" i="15"/>
  <c r="M44" i="15" s="1"/>
  <c r="L40" i="15"/>
  <c r="M40" i="15"/>
  <c r="L44" i="15"/>
  <c r="P32" i="15" s="1"/>
  <c r="L47" i="15"/>
  <c r="M47" i="15"/>
  <c r="M48" i="15"/>
  <c r="M52" i="15"/>
  <c r="L55" i="15"/>
  <c r="M55" i="15"/>
  <c r="M60" i="15" s="1"/>
  <c r="L56" i="15"/>
  <c r="M56" i="15"/>
  <c r="L60" i="15"/>
  <c r="P34" i="15" s="1"/>
  <c r="I3" i="16"/>
  <c r="I31" i="16" s="1"/>
  <c r="R3" i="16"/>
  <c r="I4" i="16"/>
  <c r="I5" i="16"/>
  <c r="C34" i="16" s="1"/>
  <c r="C37" i="16" s="1"/>
  <c r="C41" i="16" s="1"/>
  <c r="P37" i="16" s="1"/>
  <c r="I6" i="16"/>
  <c r="I7" i="16"/>
  <c r="R7" i="16"/>
  <c r="I8" i="16"/>
  <c r="I9" i="16"/>
  <c r="R9" i="16"/>
  <c r="I10" i="16"/>
  <c r="I11" i="16"/>
  <c r="I12" i="16"/>
  <c r="I13" i="16"/>
  <c r="I14" i="16"/>
  <c r="R14" i="16"/>
  <c r="I15" i="16"/>
  <c r="I16" i="16"/>
  <c r="R16" i="16"/>
  <c r="I17" i="16"/>
  <c r="R17" i="16"/>
  <c r="I18" i="16"/>
  <c r="I19" i="16"/>
  <c r="I20" i="16"/>
  <c r="I21" i="16"/>
  <c r="I22" i="16"/>
  <c r="I23" i="16"/>
  <c r="R23" i="16"/>
  <c r="I24" i="16"/>
  <c r="I25" i="16"/>
  <c r="I26" i="16"/>
  <c r="I27" i="16"/>
  <c r="I28" i="16"/>
  <c r="I29" i="16"/>
  <c r="D31" i="16"/>
  <c r="G31" i="16"/>
  <c r="H31" i="16"/>
  <c r="J31" i="16"/>
  <c r="K31" i="16"/>
  <c r="L31" i="16"/>
  <c r="M31" i="16"/>
  <c r="N31" i="16"/>
  <c r="O31" i="16"/>
  <c r="P31" i="16"/>
  <c r="Q31" i="16"/>
  <c r="H32" i="16"/>
  <c r="L51" i="16" s="1"/>
  <c r="L55" i="16" s="1"/>
  <c r="P36" i="16" s="1"/>
  <c r="H33" i="16"/>
  <c r="E34" i="16"/>
  <c r="E37" i="16" s="1"/>
  <c r="M44" i="16" s="1"/>
  <c r="L44" i="16" s="1"/>
  <c r="L34" i="16"/>
  <c r="M34" i="16"/>
  <c r="L35" i="16"/>
  <c r="L39" i="16" s="1"/>
  <c r="P34" i="16" s="1"/>
  <c r="M35" i="16"/>
  <c r="C36" i="16"/>
  <c r="E36" i="16"/>
  <c r="M39" i="16"/>
  <c r="L42" i="16"/>
  <c r="M42" i="16"/>
  <c r="M47" i="16" s="1"/>
  <c r="L43" i="16"/>
  <c r="M43" i="16"/>
  <c r="L50" i="16"/>
  <c r="M50" i="16"/>
  <c r="M51" i="16"/>
  <c r="M55" i="16"/>
  <c r="I3" i="17"/>
  <c r="C40" i="17" s="1"/>
  <c r="C43" i="17" s="1"/>
  <c r="C47" i="17" s="1"/>
  <c r="P43" i="17" s="1"/>
  <c r="I4" i="17"/>
  <c r="R4" i="17"/>
  <c r="I5" i="17"/>
  <c r="I6" i="17"/>
  <c r="I7" i="17"/>
  <c r="I8" i="17"/>
  <c r="I9" i="17"/>
  <c r="R9" i="17"/>
  <c r="I10" i="17"/>
  <c r="R10" i="17"/>
  <c r="I11" i="17"/>
  <c r="I37" i="17" s="1"/>
  <c r="I12" i="17"/>
  <c r="I13" i="17"/>
  <c r="I14" i="17"/>
  <c r="I15" i="17"/>
  <c r="R15" i="17"/>
  <c r="I16" i="17"/>
  <c r="R16" i="17"/>
  <c r="I17" i="17"/>
  <c r="I18" i="17"/>
  <c r="I19" i="17"/>
  <c r="I20" i="17"/>
  <c r="R20" i="17"/>
  <c r="I21" i="17"/>
  <c r="R21" i="17"/>
  <c r="I22" i="17"/>
  <c r="I23" i="17"/>
  <c r="I24" i="17"/>
  <c r="I25" i="17"/>
  <c r="I26" i="17"/>
  <c r="R26" i="17"/>
  <c r="I27" i="17"/>
  <c r="I28" i="17"/>
  <c r="I29" i="17"/>
  <c r="R29" i="17"/>
  <c r="I30" i="17"/>
  <c r="I31" i="17"/>
  <c r="I32" i="17"/>
  <c r="I33" i="17"/>
  <c r="I34" i="17"/>
  <c r="I35" i="17"/>
  <c r="D37" i="17"/>
  <c r="G37" i="17"/>
  <c r="H37" i="17"/>
  <c r="J37" i="17"/>
  <c r="K37" i="17"/>
  <c r="L37" i="17"/>
  <c r="M37" i="17"/>
  <c r="N37" i="17"/>
  <c r="O37" i="17"/>
  <c r="P37" i="17"/>
  <c r="Q37" i="17"/>
  <c r="H38" i="17"/>
  <c r="H39" i="17"/>
  <c r="E40" i="17"/>
  <c r="H40" i="17"/>
  <c r="L57" i="17" s="1"/>
  <c r="L40" i="17"/>
  <c r="M40" i="17"/>
  <c r="M45" i="17" s="1"/>
  <c r="L41" i="17"/>
  <c r="L45" i="17" s="1"/>
  <c r="P40" i="17" s="1"/>
  <c r="M41" i="17"/>
  <c r="C42" i="17"/>
  <c r="E42" i="17"/>
  <c r="E43" i="17"/>
  <c r="M42" i="17" s="1"/>
  <c r="L42" i="17" s="1"/>
  <c r="L48" i="17"/>
  <c r="M48" i="17"/>
  <c r="M49" i="17"/>
  <c r="L49" i="17" s="1"/>
  <c r="L53" i="17" s="1"/>
  <c r="P41" i="17" s="1"/>
  <c r="M53" i="17"/>
  <c r="L56" i="17"/>
  <c r="L61" i="17" s="1"/>
  <c r="P42" i="17" s="1"/>
  <c r="M56" i="17"/>
  <c r="M61" i="17" s="1"/>
  <c r="M57" i="17"/>
  <c r="I3" i="18"/>
  <c r="R3" i="18"/>
  <c r="I4" i="18"/>
  <c r="R4" i="18"/>
  <c r="I5" i="18"/>
  <c r="I29" i="18" s="1"/>
  <c r="I6" i="18"/>
  <c r="R6" i="18"/>
  <c r="I7" i="18"/>
  <c r="I8" i="18"/>
  <c r="R8" i="18"/>
  <c r="I9" i="18"/>
  <c r="I10" i="18"/>
  <c r="I11" i="18"/>
  <c r="I12" i="18"/>
  <c r="I13" i="18"/>
  <c r="R13" i="18"/>
  <c r="I14" i="18"/>
  <c r="R14" i="18"/>
  <c r="I15" i="18"/>
  <c r="C32" i="18" s="1"/>
  <c r="C35" i="18" s="1"/>
  <c r="C39" i="18" s="1"/>
  <c r="P35" i="18" s="1"/>
  <c r="I16" i="18"/>
  <c r="I17" i="18"/>
  <c r="R17" i="18"/>
  <c r="I18" i="18"/>
  <c r="R18" i="18"/>
  <c r="I19" i="18"/>
  <c r="R19" i="18"/>
  <c r="I20" i="18"/>
  <c r="I21" i="18"/>
  <c r="R21" i="18"/>
  <c r="I22" i="18"/>
  <c r="I23" i="18"/>
  <c r="I24" i="18"/>
  <c r="R24" i="18"/>
  <c r="I25" i="18"/>
  <c r="I26" i="18"/>
  <c r="R26" i="18"/>
  <c r="I27" i="18"/>
  <c r="R27" i="18"/>
  <c r="D29" i="18"/>
  <c r="G29" i="18"/>
  <c r="H29" i="18"/>
  <c r="J29" i="18"/>
  <c r="K29" i="18"/>
  <c r="L29" i="18"/>
  <c r="M29" i="18"/>
  <c r="N29" i="18"/>
  <c r="O29" i="18"/>
  <c r="P29" i="18"/>
  <c r="Q29" i="18"/>
  <c r="H30" i="18"/>
  <c r="H31" i="18"/>
  <c r="E32" i="18"/>
  <c r="E35" i="18" s="1"/>
  <c r="M34" i="18" s="1"/>
  <c r="L34" i="18" s="1"/>
  <c r="H32" i="18"/>
  <c r="L41" i="18" s="1"/>
  <c r="L45" i="18" s="1"/>
  <c r="P33" i="18" s="1"/>
  <c r="L32" i="18"/>
  <c r="M32" i="18"/>
  <c r="M37" i="18" s="1"/>
  <c r="M33" i="18"/>
  <c r="L33" i="18" s="1"/>
  <c r="C34" i="18"/>
  <c r="E34" i="18"/>
  <c r="L40" i="18"/>
  <c r="M40" i="18"/>
  <c r="M41" i="18"/>
  <c r="M45" i="18"/>
  <c r="L48" i="18"/>
  <c r="L53" i="18" s="1"/>
  <c r="P34" i="18" s="1"/>
  <c r="M48" i="18"/>
  <c r="M53" i="18" s="1"/>
  <c r="L49" i="18"/>
  <c r="M49" i="18"/>
  <c r="I3" i="20"/>
  <c r="R3" i="20"/>
  <c r="I4" i="20"/>
  <c r="I5" i="20"/>
  <c r="I26" i="20" s="1"/>
  <c r="I6" i="20"/>
  <c r="I7" i="20"/>
  <c r="I8" i="20"/>
  <c r="R8" i="20"/>
  <c r="I9" i="20"/>
  <c r="C29" i="20" s="1"/>
  <c r="C32" i="20" s="1"/>
  <c r="C36" i="20" s="1"/>
  <c r="P32" i="20" s="1"/>
  <c r="I10" i="20"/>
  <c r="R10" i="20"/>
  <c r="I11" i="20"/>
  <c r="I12" i="20"/>
  <c r="I13" i="20"/>
  <c r="R13" i="20"/>
  <c r="I14" i="20"/>
  <c r="R14" i="20"/>
  <c r="I15" i="20"/>
  <c r="I16" i="20"/>
  <c r="I17" i="20"/>
  <c r="I18" i="20"/>
  <c r="I19" i="20"/>
  <c r="I20" i="20"/>
  <c r="I21" i="20"/>
  <c r="I22" i="20"/>
  <c r="R22" i="20"/>
  <c r="I23" i="20"/>
  <c r="I24" i="20"/>
  <c r="D26" i="20"/>
  <c r="G26" i="20"/>
  <c r="H26" i="20"/>
  <c r="J26" i="20"/>
  <c r="K26" i="20"/>
  <c r="L26" i="20"/>
  <c r="M26" i="20"/>
  <c r="N26" i="20"/>
  <c r="O26" i="20"/>
  <c r="P26" i="20"/>
  <c r="Q26" i="20"/>
  <c r="H27" i="20"/>
  <c r="L30" i="20" s="1"/>
  <c r="L34" i="20" s="1"/>
  <c r="P29" i="20" s="1"/>
  <c r="E29" i="20"/>
  <c r="L29" i="20"/>
  <c r="M29" i="20"/>
  <c r="M34" i="20" s="1"/>
  <c r="M30" i="20"/>
  <c r="C31" i="20"/>
  <c r="E31" i="20"/>
  <c r="E32" i="20"/>
  <c r="M47" i="20" s="1"/>
  <c r="L47" i="20" s="1"/>
  <c r="L37" i="20"/>
  <c r="M37" i="20"/>
  <c r="M38" i="20"/>
  <c r="L38" i="20" s="1"/>
  <c r="L42" i="20" s="1"/>
  <c r="P30" i="20" s="1"/>
  <c r="M42" i="20"/>
  <c r="L45" i="20"/>
  <c r="L50" i="20" s="1"/>
  <c r="P31" i="20" s="1"/>
  <c r="M45" i="20"/>
  <c r="M50" i="20" s="1"/>
  <c r="M46" i="20"/>
  <c r="L46" i="20" s="1"/>
  <c r="I3" i="21"/>
  <c r="I4" i="21"/>
  <c r="I5" i="21"/>
  <c r="I40" i="21" s="1"/>
  <c r="I6" i="21"/>
  <c r="I7" i="21"/>
  <c r="C43" i="21" s="1"/>
  <c r="C46" i="21" s="1"/>
  <c r="C50" i="21" s="1"/>
  <c r="P46" i="21" s="1"/>
  <c r="I8" i="21"/>
  <c r="I9" i="21"/>
  <c r="I10" i="21"/>
  <c r="I11" i="21"/>
  <c r="I12" i="21"/>
  <c r="I13" i="21"/>
  <c r="I14" i="21"/>
  <c r="I15" i="21"/>
  <c r="I16" i="21"/>
  <c r="I17" i="21"/>
  <c r="I18" i="21"/>
  <c r="I19" i="21"/>
  <c r="I20" i="21"/>
  <c r="I21" i="21"/>
  <c r="I22" i="21"/>
  <c r="I23" i="21"/>
  <c r="I24" i="21"/>
  <c r="I25" i="21"/>
  <c r="I26" i="21"/>
  <c r="I27" i="21"/>
  <c r="I28" i="21"/>
  <c r="I29" i="21"/>
  <c r="I30" i="21"/>
  <c r="I31" i="21"/>
  <c r="I32" i="21"/>
  <c r="I33" i="21"/>
  <c r="I34" i="21"/>
  <c r="I35" i="21"/>
  <c r="I36" i="21"/>
  <c r="I37" i="21"/>
  <c r="C45" i="21" s="1"/>
  <c r="I38" i="21"/>
  <c r="D40" i="21"/>
  <c r="G40" i="21"/>
  <c r="H40" i="21"/>
  <c r="J40" i="21"/>
  <c r="K40" i="21"/>
  <c r="L40" i="21"/>
  <c r="M40" i="21"/>
  <c r="N40" i="21"/>
  <c r="O40" i="21"/>
  <c r="P40" i="21"/>
  <c r="Q40" i="21"/>
  <c r="H41" i="21"/>
  <c r="L52" i="21" s="1"/>
  <c r="L56" i="21" s="1"/>
  <c r="P44" i="21" s="1"/>
  <c r="H42" i="21"/>
  <c r="E43" i="21"/>
  <c r="H43" i="21"/>
  <c r="L43" i="21"/>
  <c r="L48" i="21" s="1"/>
  <c r="P43" i="21" s="1"/>
  <c r="M43" i="21"/>
  <c r="M44" i="21"/>
  <c r="L44" i="21" s="1"/>
  <c r="E45" i="21"/>
  <c r="E46" i="21"/>
  <c r="M61" i="21" s="1"/>
  <c r="L61" i="21" s="1"/>
  <c r="M48" i="21"/>
  <c r="L51" i="21"/>
  <c r="M51" i="21"/>
  <c r="M52" i="21"/>
  <c r="M56" i="21"/>
  <c r="L59" i="21"/>
  <c r="M59" i="21"/>
  <c r="M64" i="21" s="1"/>
  <c r="M60" i="21"/>
  <c r="L60" i="21" s="1"/>
  <c r="I3" i="22"/>
  <c r="I4" i="22"/>
  <c r="C52" i="22" s="1"/>
  <c r="C55" i="22" s="1"/>
  <c r="C59" i="22" s="1"/>
  <c r="P55" i="22" s="1"/>
  <c r="R4" i="22"/>
  <c r="I5" i="22"/>
  <c r="R5" i="22"/>
  <c r="I6" i="22"/>
  <c r="I7" i="22"/>
  <c r="I8" i="22"/>
  <c r="I9" i="22"/>
  <c r="I10" i="22"/>
  <c r="R10" i="22"/>
  <c r="I11" i="22"/>
  <c r="I12" i="22"/>
  <c r="I13" i="22"/>
  <c r="I14" i="22"/>
  <c r="I15" i="22"/>
  <c r="R15" i="22"/>
  <c r="I16" i="22"/>
  <c r="I17" i="22"/>
  <c r="I18" i="22"/>
  <c r="R18" i="22"/>
  <c r="I19" i="22"/>
  <c r="R19" i="22"/>
  <c r="I20" i="22"/>
  <c r="I21" i="22"/>
  <c r="I22" i="22"/>
  <c r="I23" i="22"/>
  <c r="I24" i="22"/>
  <c r="I25" i="22"/>
  <c r="I26" i="22"/>
  <c r="I27" i="22"/>
  <c r="R27" i="22"/>
  <c r="I28" i="22"/>
  <c r="R28" i="22"/>
  <c r="I29" i="22"/>
  <c r="I30" i="22"/>
  <c r="I31" i="22"/>
  <c r="R31" i="22"/>
  <c r="I32" i="22"/>
  <c r="I33" i="22"/>
  <c r="R33" i="22"/>
  <c r="I34" i="22"/>
  <c r="I35" i="22"/>
  <c r="I36" i="22"/>
  <c r="I37" i="22"/>
  <c r="R37" i="22"/>
  <c r="I38" i="22"/>
  <c r="I39" i="22"/>
  <c r="I40" i="22"/>
  <c r="I41" i="22"/>
  <c r="I42" i="22"/>
  <c r="I43" i="22"/>
  <c r="I44" i="22"/>
  <c r="I45" i="22"/>
  <c r="I46" i="22"/>
  <c r="R46" i="22"/>
  <c r="I47" i="22"/>
  <c r="D49" i="22"/>
  <c r="G49" i="22"/>
  <c r="H49" i="22"/>
  <c r="J49" i="22"/>
  <c r="K49" i="22"/>
  <c r="L49" i="22"/>
  <c r="M49" i="22"/>
  <c r="N49" i="22"/>
  <c r="O49" i="22"/>
  <c r="P49" i="22"/>
  <c r="Q49" i="22"/>
  <c r="H50" i="22"/>
  <c r="H51" i="22"/>
  <c r="E52" i="22"/>
  <c r="H52" i="22"/>
  <c r="L52" i="22"/>
  <c r="M52" i="22"/>
  <c r="M57" i="22" s="1"/>
  <c r="L53" i="22"/>
  <c r="L57" i="22" s="1"/>
  <c r="P52" i="22" s="1"/>
  <c r="M53" i="22"/>
  <c r="C54" i="22"/>
  <c r="E54" i="22"/>
  <c r="E55" i="22"/>
  <c r="L60" i="22"/>
  <c r="L65" i="22" s="1"/>
  <c r="P53" i="22" s="1"/>
  <c r="M60" i="22"/>
  <c r="M65" i="22" s="1"/>
  <c r="L61" i="22"/>
  <c r="M61" i="22"/>
  <c r="L68" i="22"/>
  <c r="M68" i="22"/>
  <c r="M69" i="22"/>
  <c r="L69" i="22" s="1"/>
  <c r="L73" i="22" s="1"/>
  <c r="P54" i="22" s="1"/>
  <c r="M70" i="22"/>
  <c r="L70" i="22" s="1"/>
  <c r="M73" i="22"/>
  <c r="I3" i="23"/>
  <c r="C42" i="23" s="1"/>
  <c r="C45" i="23" s="1"/>
  <c r="C49" i="23" s="1"/>
  <c r="P45" i="23" s="1"/>
  <c r="R3" i="23"/>
  <c r="I4" i="23"/>
  <c r="I5" i="23"/>
  <c r="I6" i="23"/>
  <c r="I7" i="23"/>
  <c r="R7" i="23"/>
  <c r="I8" i="23"/>
  <c r="I9" i="23"/>
  <c r="I10" i="23"/>
  <c r="I11" i="23"/>
  <c r="I12" i="23"/>
  <c r="R12" i="23"/>
  <c r="I13" i="23"/>
  <c r="R13" i="23"/>
  <c r="I14" i="23"/>
  <c r="I15" i="23"/>
  <c r="I16" i="23"/>
  <c r="I17" i="23"/>
  <c r="I18" i="23"/>
  <c r="R18" i="23"/>
  <c r="I19" i="23"/>
  <c r="R19" i="23"/>
  <c r="I20" i="23"/>
  <c r="R20" i="23"/>
  <c r="I21" i="23"/>
  <c r="I22" i="23"/>
  <c r="I23" i="23"/>
  <c r="I24" i="23"/>
  <c r="I25" i="23"/>
  <c r="R25" i="23"/>
  <c r="I26" i="23"/>
  <c r="I27" i="23"/>
  <c r="R27" i="23"/>
  <c r="I28" i="23"/>
  <c r="I29" i="23"/>
  <c r="R29" i="23"/>
  <c r="I30" i="23"/>
  <c r="R30" i="23"/>
  <c r="I31" i="23"/>
  <c r="R31" i="23"/>
  <c r="I32" i="23"/>
  <c r="I33" i="23"/>
  <c r="I34" i="23"/>
  <c r="I35" i="23"/>
  <c r="I36" i="23"/>
  <c r="R36" i="23"/>
  <c r="I37" i="23"/>
  <c r="D39" i="23"/>
  <c r="G39" i="23"/>
  <c r="H39" i="23"/>
  <c r="J39" i="23"/>
  <c r="K39" i="23"/>
  <c r="L39" i="23"/>
  <c r="M39" i="23"/>
  <c r="N39" i="23"/>
  <c r="O39" i="23"/>
  <c r="P39" i="23"/>
  <c r="Q39" i="23"/>
  <c r="H40" i="23"/>
  <c r="L43" i="23" s="1"/>
  <c r="L47" i="23" s="1"/>
  <c r="P42" i="23" s="1"/>
  <c r="H41" i="23"/>
  <c r="E42" i="23"/>
  <c r="E45" i="23" s="1"/>
  <c r="M60" i="23" s="1"/>
  <c r="L60" i="23" s="1"/>
  <c r="L42" i="23"/>
  <c r="M42" i="23"/>
  <c r="M47" i="23" s="1"/>
  <c r="M43" i="23"/>
  <c r="C44" i="23"/>
  <c r="E44" i="23"/>
  <c r="L50" i="23"/>
  <c r="M50" i="23"/>
  <c r="M55" i="23" s="1"/>
  <c r="M51" i="23"/>
  <c r="L51" i="23" s="1"/>
  <c r="L55" i="23" s="1"/>
  <c r="P43" i="23" s="1"/>
  <c r="L58" i="23"/>
  <c r="M58" i="23"/>
  <c r="M59" i="23"/>
  <c r="L59" i="23" s="1"/>
  <c r="M63" i="23"/>
  <c r="I3" i="24"/>
  <c r="C42" i="24" s="1"/>
  <c r="C45" i="24" s="1"/>
  <c r="C49" i="24" s="1"/>
  <c r="P45" i="24" s="1"/>
  <c r="R3" i="24"/>
  <c r="I4" i="24"/>
  <c r="I5" i="24"/>
  <c r="I6" i="24"/>
  <c r="R6" i="24"/>
  <c r="I7" i="24"/>
  <c r="R7" i="24"/>
  <c r="I8" i="24"/>
  <c r="R8" i="24"/>
  <c r="I9" i="24"/>
  <c r="I10" i="24"/>
  <c r="R10" i="24"/>
  <c r="I11" i="24"/>
  <c r="R11" i="24"/>
  <c r="I12" i="24"/>
  <c r="R12" i="24"/>
  <c r="I13" i="24"/>
  <c r="R13" i="24"/>
  <c r="I14" i="24"/>
  <c r="I15" i="24"/>
  <c r="R15" i="24"/>
  <c r="I16" i="24"/>
  <c r="R16" i="24"/>
  <c r="I17" i="24"/>
  <c r="I18" i="24"/>
  <c r="R18" i="24"/>
  <c r="I19" i="24"/>
  <c r="I20" i="24"/>
  <c r="I21" i="24"/>
  <c r="I22" i="24"/>
  <c r="I23" i="24"/>
  <c r="I24" i="24"/>
  <c r="I25" i="24"/>
  <c r="I26" i="24"/>
  <c r="I27" i="24"/>
  <c r="R27" i="24"/>
  <c r="I28" i="24"/>
  <c r="I29" i="24"/>
  <c r="I30" i="24"/>
  <c r="I31" i="24"/>
  <c r="I32" i="24"/>
  <c r="I33" i="24"/>
  <c r="R33" i="24"/>
  <c r="I34" i="24"/>
  <c r="R34" i="24"/>
  <c r="I35" i="24"/>
  <c r="R35" i="24"/>
  <c r="I36" i="24"/>
  <c r="I37" i="24"/>
  <c r="D39" i="24"/>
  <c r="G39" i="24"/>
  <c r="H39" i="24"/>
  <c r="J39" i="24"/>
  <c r="K39" i="24"/>
  <c r="L39" i="24"/>
  <c r="M39" i="24"/>
  <c r="N39" i="24"/>
  <c r="O39" i="24"/>
  <c r="P39" i="24"/>
  <c r="Q39" i="24"/>
  <c r="H40" i="24"/>
  <c r="L43" i="24" s="1"/>
  <c r="H41" i="24"/>
  <c r="E42" i="24"/>
  <c r="H42" i="24"/>
  <c r="L42" i="24"/>
  <c r="L47" i="24" s="1"/>
  <c r="P42" i="24" s="1"/>
  <c r="M42" i="24"/>
  <c r="M43" i="24"/>
  <c r="C44" i="24"/>
  <c r="E44" i="24"/>
  <c r="E45" i="24"/>
  <c r="M52" i="24" s="1"/>
  <c r="L52" i="24" s="1"/>
  <c r="M47" i="24"/>
  <c r="L50" i="24"/>
  <c r="M50" i="24"/>
  <c r="M55" i="24" s="1"/>
  <c r="M51" i="24"/>
  <c r="L51" i="24" s="1"/>
  <c r="L58" i="24"/>
  <c r="M58" i="24"/>
  <c r="M59" i="24"/>
  <c r="L59" i="24" s="1"/>
  <c r="L63" i="24" s="1"/>
  <c r="P44" i="24" s="1"/>
  <c r="M63" i="24"/>
  <c r="I3" i="25"/>
  <c r="I4" i="25"/>
  <c r="I29" i="25" s="1"/>
  <c r="R4" i="25"/>
  <c r="I5" i="25"/>
  <c r="I6" i="25"/>
  <c r="I7" i="25"/>
  <c r="R7" i="25"/>
  <c r="I8" i="25"/>
  <c r="I9" i="25"/>
  <c r="I10" i="25"/>
  <c r="I11" i="25"/>
  <c r="I12" i="25"/>
  <c r="I13" i="25"/>
  <c r="I14" i="25"/>
  <c r="R14" i="25"/>
  <c r="I15" i="25"/>
  <c r="R15" i="25"/>
  <c r="I16" i="25"/>
  <c r="I17" i="25"/>
  <c r="R17" i="25"/>
  <c r="I18" i="25"/>
  <c r="I19" i="25"/>
  <c r="I20" i="25"/>
  <c r="I21" i="25"/>
  <c r="I22" i="25"/>
  <c r="I23" i="25"/>
  <c r="I24" i="25"/>
  <c r="I25" i="25"/>
  <c r="I26" i="25"/>
  <c r="R26" i="25"/>
  <c r="I27" i="25"/>
  <c r="D29" i="25"/>
  <c r="G29" i="25"/>
  <c r="H29" i="25"/>
  <c r="J29" i="25"/>
  <c r="K29" i="25"/>
  <c r="L29" i="25"/>
  <c r="M29" i="25"/>
  <c r="N29" i="25"/>
  <c r="O29" i="25"/>
  <c r="P29" i="25"/>
  <c r="Q29" i="25"/>
  <c r="H30" i="25"/>
  <c r="H31" i="25"/>
  <c r="L41" i="25" s="1"/>
  <c r="L45" i="25" s="1"/>
  <c r="P33" i="25" s="1"/>
  <c r="E32" i="25"/>
  <c r="E35" i="25" s="1"/>
  <c r="M34" i="25" s="1"/>
  <c r="L34" i="25" s="1"/>
  <c r="L32" i="25"/>
  <c r="L37" i="25" s="1"/>
  <c r="P32" i="25" s="1"/>
  <c r="M32" i="25"/>
  <c r="M37" i="25" s="1"/>
  <c r="M33" i="25"/>
  <c r="L33" i="25" s="1"/>
  <c r="C34" i="25"/>
  <c r="E34" i="25"/>
  <c r="L40" i="25"/>
  <c r="M40" i="25"/>
  <c r="M41" i="25"/>
  <c r="M45" i="25"/>
  <c r="L48" i="25"/>
  <c r="L53" i="25" s="1"/>
  <c r="P34" i="25" s="1"/>
  <c r="M48" i="25"/>
  <c r="M53" i="25" s="1"/>
  <c r="L49" i="25"/>
  <c r="M49" i="25"/>
  <c r="I3" i="26"/>
  <c r="I4" i="26"/>
  <c r="I5" i="26"/>
  <c r="R5" i="26"/>
  <c r="I6" i="26"/>
  <c r="C38" i="26" s="1"/>
  <c r="C41" i="26" s="1"/>
  <c r="C45" i="26" s="1"/>
  <c r="P41" i="26" s="1"/>
  <c r="I7" i="26"/>
  <c r="I8" i="26"/>
  <c r="I9" i="26"/>
  <c r="I10" i="26"/>
  <c r="R10" i="26"/>
  <c r="I11" i="26"/>
  <c r="R11" i="26"/>
  <c r="I12" i="26"/>
  <c r="I13" i="26"/>
  <c r="R13" i="26"/>
  <c r="I14" i="26"/>
  <c r="I15" i="26"/>
  <c r="I16" i="26"/>
  <c r="I17" i="26"/>
  <c r="I18" i="26"/>
  <c r="R18" i="26"/>
  <c r="I19" i="26"/>
  <c r="I20" i="26"/>
  <c r="I21" i="26"/>
  <c r="I22" i="26"/>
  <c r="I23" i="26"/>
  <c r="I24" i="26"/>
  <c r="R24" i="26"/>
  <c r="I25" i="26"/>
  <c r="R25" i="26"/>
  <c r="I26" i="26"/>
  <c r="I27" i="26"/>
  <c r="I28" i="26"/>
  <c r="I29" i="26"/>
  <c r="R29" i="26"/>
  <c r="I30" i="26"/>
  <c r="I31" i="26"/>
  <c r="I32" i="26"/>
  <c r="R32" i="26"/>
  <c r="I33" i="26"/>
  <c r="R33" i="26"/>
  <c r="D35" i="26"/>
  <c r="G35" i="26"/>
  <c r="H35" i="26"/>
  <c r="I35" i="26"/>
  <c r="J35" i="26"/>
  <c r="K35" i="26"/>
  <c r="L35" i="26"/>
  <c r="M35" i="26"/>
  <c r="N35" i="26"/>
  <c r="O35" i="26"/>
  <c r="P35" i="26"/>
  <c r="Q35" i="26"/>
  <c r="H36" i="26"/>
  <c r="L55" i="26" s="1"/>
  <c r="L59" i="26" s="1"/>
  <c r="P40" i="26" s="1"/>
  <c r="H37" i="26"/>
  <c r="E38" i="26"/>
  <c r="E41" i="26" s="1"/>
  <c r="M40" i="26" s="1"/>
  <c r="L40" i="26" s="1"/>
  <c r="L43" i="26" s="1"/>
  <c r="P38" i="26" s="1"/>
  <c r="H38" i="26"/>
  <c r="L38" i="26"/>
  <c r="M38" i="26"/>
  <c r="M43" i="26" s="1"/>
  <c r="L39" i="26"/>
  <c r="M39" i="26"/>
  <c r="C40" i="26"/>
  <c r="E40" i="26"/>
  <c r="L46" i="26"/>
  <c r="M46" i="26"/>
  <c r="M51" i="26" s="1"/>
  <c r="M47" i="26"/>
  <c r="L47" i="26" s="1"/>
  <c r="L51" i="26" s="1"/>
  <c r="P39" i="26" s="1"/>
  <c r="L54" i="26"/>
  <c r="M54" i="26"/>
  <c r="M55" i="26"/>
  <c r="M59" i="26"/>
  <c r="I3" i="27"/>
  <c r="C51" i="27" s="1"/>
  <c r="C54" i="27" s="1"/>
  <c r="C58" i="27" s="1"/>
  <c r="P54" i="27" s="1"/>
  <c r="I4" i="27"/>
  <c r="R4" i="27"/>
  <c r="I5" i="27"/>
  <c r="R5" i="27"/>
  <c r="I6" i="27"/>
  <c r="I7" i="27"/>
  <c r="R7" i="27"/>
  <c r="I8" i="27"/>
  <c r="I9" i="27"/>
  <c r="R9" i="27"/>
  <c r="I10" i="27"/>
  <c r="I11" i="27"/>
  <c r="R11" i="27"/>
  <c r="I12" i="27"/>
  <c r="I13" i="27"/>
  <c r="R13" i="27"/>
  <c r="I14" i="27"/>
  <c r="I15" i="27"/>
  <c r="R15" i="27"/>
  <c r="I16" i="27"/>
  <c r="R16" i="27"/>
  <c r="I17" i="27"/>
  <c r="I18" i="27"/>
  <c r="R18" i="27"/>
  <c r="I19" i="27"/>
  <c r="R19" i="27"/>
  <c r="I20" i="27"/>
  <c r="R20" i="27"/>
  <c r="I21" i="27"/>
  <c r="I22" i="27"/>
  <c r="I23" i="27"/>
  <c r="I24" i="27"/>
  <c r="I25" i="27"/>
  <c r="I26" i="27"/>
  <c r="R26" i="27"/>
  <c r="I27" i="27"/>
  <c r="I28" i="27"/>
  <c r="I29" i="27"/>
  <c r="R29" i="27"/>
  <c r="I30" i="27"/>
  <c r="I48" i="27" s="1"/>
  <c r="I31" i="27"/>
  <c r="I32" i="27"/>
  <c r="R32" i="27"/>
  <c r="I33" i="27"/>
  <c r="I34" i="27"/>
  <c r="I35" i="27"/>
  <c r="I36" i="27"/>
  <c r="I37" i="27"/>
  <c r="I38" i="27"/>
  <c r="I39" i="27"/>
  <c r="I40" i="27"/>
  <c r="R40" i="27"/>
  <c r="I41" i="27"/>
  <c r="I42" i="27"/>
  <c r="I43" i="27"/>
  <c r="R43" i="27"/>
  <c r="I44" i="27"/>
  <c r="I45" i="27"/>
  <c r="I46" i="27"/>
  <c r="R46" i="27"/>
  <c r="D48" i="27"/>
  <c r="G48" i="27"/>
  <c r="H48" i="27"/>
  <c r="J48" i="27"/>
  <c r="K48" i="27"/>
  <c r="L48" i="27"/>
  <c r="M48" i="27"/>
  <c r="N48" i="27"/>
  <c r="O48" i="27"/>
  <c r="P48" i="27"/>
  <c r="Q48" i="27"/>
  <c r="H49" i="27"/>
  <c r="L68" i="27" s="1"/>
  <c r="L72" i="27" s="1"/>
  <c r="P53" i="27" s="1"/>
  <c r="H50" i="27"/>
  <c r="E51" i="27"/>
  <c r="E54" i="27" s="1"/>
  <c r="M53" i="27" s="1"/>
  <c r="L53" i="27" s="1"/>
  <c r="L56" i="27" s="1"/>
  <c r="P51" i="27" s="1"/>
  <c r="P55" i="27" s="1"/>
  <c r="H51" i="27"/>
  <c r="L51" i="27"/>
  <c r="M51" i="27"/>
  <c r="L52" i="27"/>
  <c r="M52" i="27"/>
  <c r="C53" i="27"/>
  <c r="E53" i="27"/>
  <c r="M56" i="27"/>
  <c r="L59" i="27"/>
  <c r="M59" i="27"/>
  <c r="M64" i="27" s="1"/>
  <c r="M60" i="27"/>
  <c r="L60" i="27" s="1"/>
  <c r="L64" i="27" s="1"/>
  <c r="P52" i="27" s="1"/>
  <c r="L67" i="27"/>
  <c r="M67" i="27"/>
  <c r="M68" i="27"/>
  <c r="M72" i="27"/>
  <c r="I3" i="28"/>
  <c r="I23" i="28" s="1"/>
  <c r="R3" i="28"/>
  <c r="I4" i="28"/>
  <c r="I5" i="28"/>
  <c r="I6" i="28"/>
  <c r="I7" i="28"/>
  <c r="I8" i="28"/>
  <c r="R8" i="28"/>
  <c r="I9" i="28"/>
  <c r="R9" i="28"/>
  <c r="I10" i="28"/>
  <c r="R10" i="28"/>
  <c r="I11" i="28"/>
  <c r="I12" i="28"/>
  <c r="I13" i="28"/>
  <c r="R13" i="28"/>
  <c r="I14" i="28"/>
  <c r="R14" i="28"/>
  <c r="I15" i="28"/>
  <c r="I16" i="28"/>
  <c r="I17" i="28"/>
  <c r="I18" i="28"/>
  <c r="I19" i="28"/>
  <c r="I20" i="28"/>
  <c r="I21" i="28"/>
  <c r="R21" i="28"/>
  <c r="D23" i="28"/>
  <c r="G23" i="28"/>
  <c r="H23" i="28"/>
  <c r="J23" i="28"/>
  <c r="K23" i="28"/>
  <c r="L23" i="28"/>
  <c r="M23" i="28"/>
  <c r="N23" i="28"/>
  <c r="O23" i="28"/>
  <c r="P23" i="28"/>
  <c r="Q23" i="28"/>
  <c r="H24" i="28"/>
  <c r="E26" i="28"/>
  <c r="E29" i="28" s="1"/>
  <c r="M28" i="28" s="1"/>
  <c r="L28" i="28" s="1"/>
  <c r="L26" i="28"/>
  <c r="M26" i="28"/>
  <c r="M27" i="28"/>
  <c r="L27" i="28" s="1"/>
  <c r="L31" i="28" s="1"/>
  <c r="P26" i="28" s="1"/>
  <c r="C28" i="28"/>
  <c r="E28" i="28"/>
  <c r="P28" i="28"/>
  <c r="M31" i="28"/>
  <c r="L34" i="28"/>
  <c r="L39" i="28" s="1"/>
  <c r="P27" i="28" s="1"/>
  <c r="M34" i="28"/>
  <c r="L35" i="28"/>
  <c r="M35" i="28"/>
  <c r="M39" i="28"/>
  <c r="L42" i="28"/>
  <c r="M42" i="28"/>
  <c r="L43" i="28"/>
  <c r="M43" i="28"/>
  <c r="L47" i="28"/>
  <c r="M47" i="28"/>
  <c r="I3" i="29"/>
  <c r="I28" i="29" s="1"/>
  <c r="I4" i="29"/>
  <c r="I5" i="29"/>
  <c r="I6" i="29"/>
  <c r="I7" i="29"/>
  <c r="I8" i="29"/>
  <c r="I9" i="29"/>
  <c r="R9" i="29"/>
  <c r="I10" i="29"/>
  <c r="I11" i="29"/>
  <c r="I12" i="29"/>
  <c r="R12" i="29"/>
  <c r="I13" i="29"/>
  <c r="I14" i="29"/>
  <c r="R14" i="29"/>
  <c r="I15" i="29"/>
  <c r="I16" i="29"/>
  <c r="R16" i="29"/>
  <c r="I17" i="29"/>
  <c r="R17" i="29"/>
  <c r="I18" i="29"/>
  <c r="I19" i="29"/>
  <c r="I20" i="29"/>
  <c r="I21" i="29"/>
  <c r="I22" i="29"/>
  <c r="I23" i="29"/>
  <c r="I24" i="29"/>
  <c r="I25" i="29"/>
  <c r="I26" i="29"/>
  <c r="D28" i="29"/>
  <c r="G28" i="29"/>
  <c r="H28" i="29"/>
  <c r="J28" i="29"/>
  <c r="K28" i="29"/>
  <c r="L28" i="29"/>
  <c r="M28" i="29"/>
  <c r="N28" i="29"/>
  <c r="O28" i="29"/>
  <c r="P28" i="29"/>
  <c r="Q28" i="29"/>
  <c r="H29" i="29"/>
  <c r="L40" i="29" s="1"/>
  <c r="H30" i="29"/>
  <c r="E31" i="29"/>
  <c r="H31" i="29"/>
  <c r="L31" i="29"/>
  <c r="M31" i="29"/>
  <c r="M32" i="29"/>
  <c r="L32" i="29" s="1"/>
  <c r="L36" i="29" s="1"/>
  <c r="P31" i="29" s="1"/>
  <c r="C33" i="29"/>
  <c r="E33" i="29"/>
  <c r="E34" i="29"/>
  <c r="M33" i="29" s="1"/>
  <c r="L33" i="29" s="1"/>
  <c r="M36" i="29"/>
  <c r="L39" i="29"/>
  <c r="M39" i="29"/>
  <c r="M44" i="29" s="1"/>
  <c r="M40" i="29"/>
  <c r="L47" i="29"/>
  <c r="M47" i="29"/>
  <c r="M48" i="29"/>
  <c r="L48" i="29" s="1"/>
  <c r="L52" i="29" s="1"/>
  <c r="P33" i="29" s="1"/>
  <c r="M52" i="29"/>
  <c r="I3" i="30"/>
  <c r="I32" i="30" s="1"/>
  <c r="R3" i="30"/>
  <c r="I4" i="30"/>
  <c r="R4" i="30"/>
  <c r="I5" i="30"/>
  <c r="R5" i="30"/>
  <c r="I6" i="30"/>
  <c r="R6" i="30"/>
  <c r="I7" i="30"/>
  <c r="R7" i="30"/>
  <c r="I8" i="30"/>
  <c r="R8" i="30"/>
  <c r="I9" i="30"/>
  <c r="I10" i="30"/>
  <c r="I11" i="30"/>
  <c r="I12" i="30"/>
  <c r="I13" i="30"/>
  <c r="R13" i="30"/>
  <c r="I14" i="30"/>
  <c r="R14" i="30"/>
  <c r="I15" i="30"/>
  <c r="I16" i="30"/>
  <c r="R16" i="30"/>
  <c r="I17" i="30"/>
  <c r="I18" i="30"/>
  <c r="R18" i="30"/>
  <c r="I19" i="30"/>
  <c r="I20" i="30"/>
  <c r="I21" i="30"/>
  <c r="I22" i="30"/>
  <c r="I23" i="30"/>
  <c r="I24" i="30"/>
  <c r="I25" i="30"/>
  <c r="I26" i="30"/>
  <c r="I27" i="30"/>
  <c r="I28" i="30"/>
  <c r="I29" i="30"/>
  <c r="R29" i="30"/>
  <c r="I30" i="30"/>
  <c r="D32" i="30"/>
  <c r="G32" i="30"/>
  <c r="H32" i="30"/>
  <c r="J32" i="30"/>
  <c r="K32" i="30"/>
  <c r="L32" i="30"/>
  <c r="M32" i="30"/>
  <c r="N32" i="30"/>
  <c r="O32" i="30"/>
  <c r="P32" i="30"/>
  <c r="Q32" i="30"/>
  <c r="H33" i="30"/>
  <c r="L44" i="30" s="1"/>
  <c r="H34" i="30"/>
  <c r="E35" i="30"/>
  <c r="E38" i="30" s="1"/>
  <c r="M37" i="30" s="1"/>
  <c r="L37" i="30" s="1"/>
  <c r="L35" i="30"/>
  <c r="M35" i="30"/>
  <c r="M40" i="30" s="1"/>
  <c r="L36" i="30"/>
  <c r="L40" i="30" s="1"/>
  <c r="P35" i="30" s="1"/>
  <c r="M36" i="30"/>
  <c r="C37" i="30"/>
  <c r="E37" i="30"/>
  <c r="L43" i="30"/>
  <c r="L48" i="30" s="1"/>
  <c r="P36" i="30" s="1"/>
  <c r="M43" i="30"/>
  <c r="M44" i="30"/>
  <c r="M48" i="30"/>
  <c r="L51" i="30"/>
  <c r="M51" i="30"/>
  <c r="M52" i="30"/>
  <c r="L52" i="30" s="1"/>
  <c r="L56" i="30" s="1"/>
  <c r="P37" i="30" s="1"/>
  <c r="M56" i="30"/>
  <c r="I3" i="31"/>
  <c r="C38" i="31" s="1"/>
  <c r="C41" i="31" s="1"/>
  <c r="C45" i="31" s="1"/>
  <c r="P41" i="31" s="1"/>
  <c r="I4" i="31"/>
  <c r="I5" i="31"/>
  <c r="R5" i="31"/>
  <c r="I6" i="31"/>
  <c r="I7" i="31"/>
  <c r="I8" i="31"/>
  <c r="I9" i="31"/>
  <c r="I10" i="31"/>
  <c r="R10" i="31"/>
  <c r="I11" i="31"/>
  <c r="I12" i="31"/>
  <c r="I13" i="31"/>
  <c r="I14" i="31"/>
  <c r="R14" i="31"/>
  <c r="I15" i="31"/>
  <c r="I16" i="31"/>
  <c r="R16" i="31"/>
  <c r="I17" i="31"/>
  <c r="R17" i="31"/>
  <c r="I18" i="31"/>
  <c r="I19" i="31"/>
  <c r="R19" i="31"/>
  <c r="I20" i="31"/>
  <c r="R20" i="31"/>
  <c r="I21" i="31"/>
  <c r="I22" i="31"/>
  <c r="I23" i="31"/>
  <c r="I24" i="31"/>
  <c r="R24" i="31"/>
  <c r="I25" i="31"/>
  <c r="R25" i="31"/>
  <c r="I26" i="31"/>
  <c r="I27" i="31"/>
  <c r="R27" i="31"/>
  <c r="I28" i="31"/>
  <c r="I29" i="31"/>
  <c r="I30" i="31"/>
  <c r="I31" i="31"/>
  <c r="I32" i="31"/>
  <c r="I33" i="31"/>
  <c r="D35" i="31"/>
  <c r="G35" i="31"/>
  <c r="H35" i="31"/>
  <c r="J35" i="31"/>
  <c r="K35" i="31"/>
  <c r="L35" i="31"/>
  <c r="M35" i="31"/>
  <c r="N35" i="31"/>
  <c r="O35" i="31"/>
  <c r="P35" i="31"/>
  <c r="Q35" i="31"/>
  <c r="H36" i="31"/>
  <c r="H37" i="31"/>
  <c r="E38" i="31"/>
  <c r="E41" i="31" s="1"/>
  <c r="M48" i="31" s="1"/>
  <c r="L48" i="31" s="1"/>
  <c r="L51" i="31" s="1"/>
  <c r="P39" i="31" s="1"/>
  <c r="L38" i="31"/>
  <c r="L43" i="31" s="1"/>
  <c r="P38" i="31" s="1"/>
  <c r="M38" i="31"/>
  <c r="L39" i="31"/>
  <c r="M39" i="31"/>
  <c r="C40" i="31"/>
  <c r="E40" i="31"/>
  <c r="M43" i="31"/>
  <c r="L46" i="31"/>
  <c r="M46" i="31"/>
  <c r="L47" i="31"/>
  <c r="M47" i="31"/>
  <c r="M51" i="31"/>
  <c r="L54" i="31"/>
  <c r="L59" i="31" s="1"/>
  <c r="P40" i="31" s="1"/>
  <c r="M54" i="31"/>
  <c r="M59" i="31" s="1"/>
  <c r="L55" i="31"/>
  <c r="M55" i="31"/>
  <c r="I3" i="32"/>
  <c r="C33" i="32" s="1"/>
  <c r="C36" i="32" s="1"/>
  <c r="C40" i="32" s="1"/>
  <c r="P36" i="32" s="1"/>
  <c r="R3" i="32"/>
  <c r="I4" i="32"/>
  <c r="I5" i="32"/>
  <c r="I30" i="32" s="1"/>
  <c r="R5" i="32"/>
  <c r="I6" i="32"/>
  <c r="I7" i="32"/>
  <c r="I8" i="32"/>
  <c r="R8" i="32"/>
  <c r="I9" i="32"/>
  <c r="R9" i="32"/>
  <c r="I10" i="32"/>
  <c r="I11" i="32"/>
  <c r="I12" i="32"/>
  <c r="I13" i="32"/>
  <c r="I14" i="32"/>
  <c r="I15" i="32"/>
  <c r="I16" i="32"/>
  <c r="R16" i="32"/>
  <c r="I17" i="32"/>
  <c r="I18" i="32"/>
  <c r="I19" i="32"/>
  <c r="I20" i="32"/>
  <c r="I21" i="32"/>
  <c r="R21" i="32"/>
  <c r="I22" i="32"/>
  <c r="I23" i="32"/>
  <c r="I24" i="32"/>
  <c r="R24" i="32"/>
  <c r="I25" i="32"/>
  <c r="I26" i="32"/>
  <c r="I27" i="32"/>
  <c r="R27" i="32"/>
  <c r="I28" i="32"/>
  <c r="R28" i="32"/>
  <c r="D30" i="32"/>
  <c r="G30" i="32"/>
  <c r="H30" i="32"/>
  <c r="J30" i="32"/>
  <c r="K30" i="32"/>
  <c r="L30" i="32"/>
  <c r="M30" i="32"/>
  <c r="N30" i="32"/>
  <c r="O30" i="32"/>
  <c r="P30" i="32"/>
  <c r="Q30" i="32"/>
  <c r="H31" i="32"/>
  <c r="L42" i="32" s="1"/>
  <c r="H32" i="32"/>
  <c r="E33" i="32"/>
  <c r="E36" i="32" s="1"/>
  <c r="M51" i="32" s="1"/>
  <c r="L51" i="32" s="1"/>
  <c r="H33" i="32"/>
  <c r="L33" i="32"/>
  <c r="M33" i="32"/>
  <c r="M34" i="32"/>
  <c r="L34" i="32" s="1"/>
  <c r="L38" i="32" s="1"/>
  <c r="P33" i="32" s="1"/>
  <c r="P37" i="32" s="1"/>
  <c r="C35" i="32"/>
  <c r="E35" i="32"/>
  <c r="M38" i="32"/>
  <c r="L41" i="32"/>
  <c r="L46" i="32" s="1"/>
  <c r="P34" i="32" s="1"/>
  <c r="M41" i="32"/>
  <c r="M46" i="32" s="1"/>
  <c r="M42" i="32"/>
  <c r="L49" i="32"/>
  <c r="M49" i="32"/>
  <c r="M50" i="32"/>
  <c r="L50" i="32" s="1"/>
  <c r="L54" i="32" s="1"/>
  <c r="P35" i="32" s="1"/>
  <c r="M54" i="32"/>
  <c r="I3" i="33"/>
  <c r="I4" i="33"/>
  <c r="I40" i="33" s="1"/>
  <c r="I5" i="33"/>
  <c r="I6" i="33"/>
  <c r="I7" i="33"/>
  <c r="R7" i="33"/>
  <c r="I8" i="33"/>
  <c r="R8" i="33"/>
  <c r="I9" i="33"/>
  <c r="R9" i="33"/>
  <c r="I10" i="33"/>
  <c r="I11" i="33"/>
  <c r="R11" i="33"/>
  <c r="I12" i="33"/>
  <c r="I13" i="33"/>
  <c r="I14" i="33"/>
  <c r="I15" i="33"/>
  <c r="I16" i="33"/>
  <c r="I17" i="33"/>
  <c r="R17" i="33"/>
  <c r="I18" i="33"/>
  <c r="I19" i="33"/>
  <c r="R19" i="33"/>
  <c r="I20" i="33"/>
  <c r="I21" i="33"/>
  <c r="I22" i="33"/>
  <c r="I23" i="33"/>
  <c r="I24" i="33"/>
  <c r="I25" i="33"/>
  <c r="I26" i="33"/>
  <c r="I27" i="33"/>
  <c r="R27" i="33"/>
  <c r="I28" i="33"/>
  <c r="I29" i="33"/>
  <c r="I30" i="33"/>
  <c r="I31" i="33"/>
  <c r="I32" i="33"/>
  <c r="I33" i="33"/>
  <c r="I34" i="33"/>
  <c r="I35" i="33"/>
  <c r="R35" i="33"/>
  <c r="I36" i="33"/>
  <c r="R36" i="33"/>
  <c r="I37" i="33"/>
  <c r="I38" i="33"/>
  <c r="D40" i="33"/>
  <c r="G40" i="33"/>
  <c r="H40" i="33"/>
  <c r="J40" i="33"/>
  <c r="K40" i="33"/>
  <c r="L40" i="33"/>
  <c r="M40" i="33"/>
  <c r="N40" i="33"/>
  <c r="O40" i="33"/>
  <c r="P40" i="33"/>
  <c r="Q40" i="33"/>
  <c r="H41" i="33"/>
  <c r="H42" i="33"/>
  <c r="L52" i="33" s="1"/>
  <c r="C43" i="33"/>
  <c r="C46" i="33" s="1"/>
  <c r="C50" i="33" s="1"/>
  <c r="P46" i="33" s="1"/>
  <c r="E43" i="33"/>
  <c r="H43" i="33"/>
  <c r="L43" i="33"/>
  <c r="M43" i="33"/>
  <c r="M44" i="33"/>
  <c r="L44" i="33" s="1"/>
  <c r="L48" i="33" s="1"/>
  <c r="P43" i="33" s="1"/>
  <c r="P47" i="33" s="1"/>
  <c r="C45" i="33"/>
  <c r="E45" i="33"/>
  <c r="M45" i="33"/>
  <c r="L45" i="33" s="1"/>
  <c r="E46" i="33"/>
  <c r="M48" i="33"/>
  <c r="L51" i="33"/>
  <c r="L56" i="33" s="1"/>
  <c r="P44" i="33" s="1"/>
  <c r="M51" i="33"/>
  <c r="M56" i="33" s="1"/>
  <c r="M52" i="33"/>
  <c r="L59" i="33"/>
  <c r="M59" i="33"/>
  <c r="M60" i="33"/>
  <c r="L60" i="33" s="1"/>
  <c r="L64" i="33" s="1"/>
  <c r="P45" i="33" s="1"/>
  <c r="M64" i="33"/>
  <c r="E31" i="19" a="1"/>
  <c r="C25" i="19"/>
  <c r="D13" i="19" a="1"/>
  <c r="B11" i="19"/>
  <c r="C14" i="19"/>
  <c r="C21" i="19"/>
  <c r="C6" i="19"/>
  <c r="D16" i="19" a="1"/>
  <c r="B14" i="19"/>
  <c r="C23" i="19"/>
  <c r="D9" i="19" a="1"/>
  <c r="C9" i="19"/>
  <c r="B20" i="19"/>
  <c r="D24" i="19" a="1"/>
  <c r="D29" i="19" a="1"/>
  <c r="B29" i="19"/>
  <c r="C18" i="19"/>
  <c r="C5" i="19"/>
  <c r="D28" i="19" a="1"/>
  <c r="B4" i="19"/>
  <c r="C4" i="19"/>
  <c r="C12" i="19"/>
  <c r="B23" i="19"/>
  <c r="C15" i="19"/>
  <c r="D5" i="19" a="1"/>
  <c r="D4" i="19" a="1"/>
  <c r="B7" i="19"/>
  <c r="C7" i="19"/>
  <c r="B12" i="19"/>
  <c r="D20" i="19" a="1"/>
  <c r="D15" i="19" a="1"/>
  <c r="B10" i="19"/>
  <c r="B13" i="19"/>
  <c r="C13" i="19"/>
  <c r="B8" i="19"/>
  <c r="C20" i="19"/>
  <c r="D8" i="19" a="1"/>
  <c r="B15" i="19"/>
  <c r="C27" i="19"/>
  <c r="B18" i="19"/>
  <c r="C22" i="19"/>
  <c r="D26" i="19" a="1"/>
  <c r="D18" i="19" a="1"/>
  <c r="D27" i="19" a="1"/>
  <c r="C3" i="19"/>
  <c r="B16" i="19"/>
  <c r="C19" i="19"/>
  <c r="B17" i="19"/>
  <c r="C29" i="19"/>
  <c r="D11" i="19" a="1"/>
  <c r="D12" i="19" a="1"/>
  <c r="B26" i="19"/>
  <c r="D14" i="19" a="1"/>
  <c r="B21" i="19"/>
  <c r="C28" i="19"/>
  <c r="D3" i="19"/>
  <c r="B19" i="19"/>
  <c r="B22" i="19"/>
  <c r="B25" i="19"/>
  <c r="B28" i="19"/>
  <c r="D7" i="19" a="1"/>
  <c r="D23" i="19" a="1"/>
  <c r="C8" i="19"/>
  <c r="B9" i="19"/>
  <c r="D6" i="19" a="1"/>
  <c r="D10" i="19" a="1"/>
  <c r="B27" i="19"/>
  <c r="D21" i="19" a="1"/>
  <c r="D17" i="19" a="1"/>
  <c r="B6" i="19"/>
  <c r="C10" i="19"/>
  <c r="C17" i="19"/>
  <c r="C24" i="19"/>
  <c r="C16" i="19"/>
  <c r="B5" i="19"/>
  <c r="C11" i="19"/>
  <c r="D19" i="19" a="1"/>
  <c r="D22" i="19" a="1"/>
  <c r="D25" i="19" a="1"/>
  <c r="B24" i="19"/>
  <c r="C26" i="19"/>
  <c r="E31" i="19" l="1"/>
  <c r="D18" i="19"/>
  <c r="D12" i="19"/>
  <c r="D21" i="19"/>
  <c r="D6" i="19"/>
  <c r="D24" i="19"/>
  <c r="D9" i="19"/>
  <c r="D15" i="19"/>
  <c r="D20" i="19"/>
  <c r="D14" i="19"/>
  <c r="D11" i="19"/>
  <c r="D8" i="19"/>
  <c r="D5" i="19"/>
  <c r="D29" i="19"/>
  <c r="D17" i="19"/>
  <c r="D27" i="19"/>
  <c r="D26" i="19"/>
  <c r="D23" i="19"/>
  <c r="D25" i="19"/>
  <c r="D22" i="19"/>
  <c r="D19" i="19"/>
  <c r="D16" i="19"/>
  <c r="D13" i="19"/>
  <c r="D10" i="19"/>
  <c r="D7" i="19"/>
  <c r="D4" i="19"/>
  <c r="D28" i="19"/>
  <c r="C36" i="34"/>
  <c r="C39" i="34" s="1"/>
  <c r="C43" i="34" s="1"/>
  <c r="P39" i="34" s="1"/>
  <c r="I33" i="34"/>
  <c r="L45" i="34"/>
  <c r="L49" i="34" s="1"/>
  <c r="P37" i="34" s="1"/>
  <c r="L41" i="34"/>
  <c r="P36" i="34" s="1"/>
  <c r="L57" i="34"/>
  <c r="P38" i="34" s="1"/>
  <c r="P44" i="17"/>
  <c r="P42" i="26"/>
  <c r="L55" i="24"/>
  <c r="P43" i="24" s="1"/>
  <c r="L47" i="8"/>
  <c r="P33" i="20"/>
  <c r="L49" i="10"/>
  <c r="P37" i="10" s="1"/>
  <c r="L54" i="7"/>
  <c r="L71" i="14"/>
  <c r="P59" i="14" s="1"/>
  <c r="L63" i="23"/>
  <c r="P44" i="23" s="1"/>
  <c r="P63" i="14"/>
  <c r="L64" i="21"/>
  <c r="P45" i="21" s="1"/>
  <c r="P47" i="21" s="1"/>
  <c r="L44" i="29"/>
  <c r="P32" i="29" s="1"/>
  <c r="P35" i="29" s="1"/>
  <c r="P46" i="23"/>
  <c r="L53" i="12"/>
  <c r="P41" i="12" s="1"/>
  <c r="P44" i="12" s="1"/>
  <c r="P56" i="22"/>
  <c r="P46" i="24"/>
  <c r="P40" i="10"/>
  <c r="L37" i="18"/>
  <c r="P32" i="18" s="1"/>
  <c r="P36" i="18" s="1"/>
  <c r="L47" i="16"/>
  <c r="P35" i="16" s="1"/>
  <c r="P38" i="16" s="1"/>
  <c r="L59" i="13"/>
  <c r="P47" i="13" s="1"/>
  <c r="P51" i="13" s="1"/>
  <c r="P42" i="31"/>
  <c r="L36" i="15"/>
  <c r="P31" i="15" s="1"/>
  <c r="P36" i="15" s="1"/>
  <c r="L75" i="13"/>
  <c r="P49" i="13" s="1"/>
  <c r="C26" i="28"/>
  <c r="C29" i="28" s="1"/>
  <c r="C33" i="28" s="1"/>
  <c r="P29" i="28" s="1"/>
  <c r="P30" i="28" s="1"/>
  <c r="I28" i="15"/>
  <c r="C32" i="25"/>
  <c r="C35" i="25" s="1"/>
  <c r="C39" i="25" s="1"/>
  <c r="P35" i="25" s="1"/>
  <c r="P36" i="25" s="1"/>
  <c r="I55" i="14"/>
  <c r="C35" i="30"/>
  <c r="C38" i="30" s="1"/>
  <c r="C42" i="30" s="1"/>
  <c r="P38" i="30" s="1"/>
  <c r="P39" i="30" s="1"/>
  <c r="I49" i="22"/>
  <c r="I37" i="12"/>
  <c r="I35" i="31"/>
  <c r="I39" i="24"/>
  <c r="I39" i="23"/>
  <c r="C31" i="29"/>
  <c r="C34" i="29" s="1"/>
  <c r="C38" i="29" s="1"/>
  <c r="P34" i="29" s="1"/>
  <c r="I62" i="11"/>
  <c r="B3" i="19"/>
  <c r="P40" i="34" l="1"/>
  <c r="E8" i="19"/>
  <c r="E20" i="19"/>
  <c r="E13" i="19"/>
  <c r="E25" i="19"/>
  <c r="E6" i="19"/>
  <c r="E18" i="19"/>
  <c r="E11" i="19"/>
  <c r="E23" i="19"/>
  <c r="E4" i="19"/>
  <c r="E16" i="19"/>
  <c r="E28" i="19"/>
  <c r="E9" i="19"/>
  <c r="E21" i="19"/>
  <c r="E14" i="19"/>
  <c r="E26" i="19"/>
  <c r="E7" i="19"/>
  <c r="E19" i="19"/>
  <c r="E12" i="19"/>
  <c r="E24" i="19"/>
  <c r="E5" i="19"/>
  <c r="E17" i="19"/>
  <c r="E29" i="19"/>
  <c r="E27" i="19"/>
  <c r="E10" i="19"/>
  <c r="E22" i="19"/>
  <c r="E15" i="19"/>
  <c r="E3" i="19"/>
  <c r="P42" i="8"/>
  <c r="P46" i="8" s="1"/>
  <c r="P42" i="7"/>
  <c r="P45" i="7" s="1"/>
  <c r="E30" i="19" l="1"/>
  <c r="E32" i="19" s="1"/>
  <c r="E33" i="19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<sst xmlns="http://schemas.openxmlformats.org/spreadsheetml/2006/main" count="8488" uniqueCount="2360">
  <si>
    <t>THÁNG 7</t>
  </si>
  <si>
    <t>NGÀY</t>
  </si>
  <si>
    <t>ĐƠN NHẬN</t>
  </si>
  <si>
    <t>ĐƠN GỘP</t>
  </si>
  <si>
    <t>ĐƠN TRẢ</t>
  </si>
  <si>
    <t>ĐƠN GIAO ĐƯỢC</t>
  </si>
  <si>
    <t>Số đơn thành công</t>
  </si>
  <si>
    <t>Doanh thu</t>
  </si>
  <si>
    <t>Lương</t>
  </si>
  <si>
    <t>Lợi nhuận</t>
  </si>
  <si>
    <t>Tình trạng TT</t>
  </si>
  <si>
    <t>SHOP</t>
  </si>
  <si>
    <t>TÊN KH</t>
  </si>
  <si>
    <t>MÃ</t>
  </si>
  <si>
    <t>ĐỊA CHỈ</t>
  </si>
  <si>
    <t>QUẬN</t>
  </si>
  <si>
    <t>TIỀN THU</t>
  </si>
  <si>
    <t>TIỀN SHIP</t>
  </si>
  <si>
    <t>TIỀN HÀNG</t>
  </si>
  <si>
    <t>NGƯỜI ĐI</t>
  </si>
  <si>
    <t>NGƯỜI LẤY</t>
  </si>
  <si>
    <t>NGÀY LẤY</t>
  </si>
  <si>
    <t>GHI CHÚ</t>
  </si>
  <si>
    <t>ỨNG TIỀN</t>
  </si>
  <si>
    <t>HÀNG TỒN</t>
  </si>
  <si>
    <t>FAIL</t>
  </si>
  <si>
    <t>ĐOÀN NGÂN CHÂU</t>
  </si>
  <si>
    <t>Duyên Thai</t>
  </si>
  <si>
    <t>HD032522</t>
  </si>
  <si>
    <t>263/14a1, Đường Thạch Lam, phường Phú Thạnh</t>
  </si>
  <si>
    <t>tan phu</t>
  </si>
  <si>
    <t>AT 01-07</t>
  </si>
  <si>
    <t>c.cuong</t>
  </si>
  <si>
    <t>01-07-2026</t>
  </si>
  <si>
    <t>KATHERINE4156</t>
  </si>
  <si>
    <t>HD032473</t>
  </si>
  <si>
    <t>275/14B1 Đặng Nguyên Cẩn, Phường Phú Lâm (phường 14 cũ)</t>
  </si>
  <si>
    <t>chị ngọc</t>
  </si>
  <si>
    <t>HD032308</t>
  </si>
  <si>
    <t>C4/68 phạm hùng</t>
  </si>
  <si>
    <t>binh chanh</t>
  </si>
  <si>
    <t>đổi hàng, shop chịu ship</t>
  </si>
  <si>
    <t>Nguyễn Thu Hà</t>
  </si>
  <si>
    <t>HD032319</t>
  </si>
  <si>
    <t>106/5 tôn thất hiệp phường 13</t>
  </si>
  <si>
    <t>Từ Hiếu</t>
  </si>
  <si>
    <t>HD032519</t>
  </si>
  <si>
    <t>353 tân sơn nhì ( chung cư gò dầu lô 2a )</t>
  </si>
  <si>
    <t>FB LING LING</t>
  </si>
  <si>
    <t>HD032361</t>
  </si>
  <si>
    <t>Số 78 Đường Số 7, P. Bình Hwnh Hòa</t>
  </si>
  <si>
    <t>binh tan</t>
  </si>
  <si>
    <t>Thanh Vy (website)</t>
  </si>
  <si>
    <t>HD032509</t>
  </si>
  <si>
    <t>1002 Tạ Quang Bửu, Phường Bình Đông</t>
  </si>
  <si>
    <t>shop chịu ship</t>
  </si>
  <si>
    <t>Diễm Dora</t>
  </si>
  <si>
    <t>HD032495</t>
  </si>
  <si>
    <t>D12/4 le thi dung xa Vĩnh loc a</t>
  </si>
  <si>
    <t>Candy</t>
  </si>
  <si>
    <t>HD032517</t>
  </si>
  <si>
    <t>30, Đường Chu Văn An, Phường Phu Tho Hoa (Phường cũ là Tân Thạnh)</t>
  </si>
  <si>
    <t>Lê Thị Minh Phượng</t>
  </si>
  <si>
    <t>HD032390</t>
  </si>
  <si>
    <t>101/20 đường số 9, phường bình hưng hòa</t>
  </si>
  <si>
    <t>Dang Thuy</t>
  </si>
  <si>
    <t>HD032365</t>
  </si>
  <si>
    <t>285/12/4 Đình đức thiên xã</t>
  </si>
  <si>
    <t>đổi hàng</t>
  </si>
  <si>
    <t>Nga - fb Nguyen Nguyen</t>
  </si>
  <si>
    <t>HD032545</t>
  </si>
  <si>
    <t>Giao về 93 phạm đình hổ, phường 2</t>
  </si>
  <si>
    <t>Huỳnh Ngọc Nhi</t>
  </si>
  <si>
    <t>HD032505</t>
  </si>
  <si>
    <t>số 556 đường điện biên phủ, phường thạnh mỹ tây</t>
  </si>
  <si>
    <t>binh thanh</t>
  </si>
  <si>
    <t>Hoàng Trinh</t>
  </si>
  <si>
    <t>HD032475</t>
  </si>
  <si>
    <t>71/1/33.Nguyễn van Thuong p Thạnh mỹ tây</t>
  </si>
  <si>
    <t>Trần Lê Cẩm Tú</t>
  </si>
  <si>
    <t>HD032265</t>
  </si>
  <si>
    <t>32 Nguyễn Bỉnh Khiêm, P.1</t>
  </si>
  <si>
    <t>go vap</t>
  </si>
  <si>
    <t>Ngoan Nguyễn</t>
  </si>
  <si>
    <t>HD032483</t>
  </si>
  <si>
    <t>68/1/8 Nguyễn Tư Giản, phường An Hội Tây</t>
  </si>
  <si>
    <t>Quyên gửi Indo</t>
  </si>
  <si>
    <t>HD032482</t>
  </si>
  <si>
    <t>245/1/2 kha vạn cân, hiệp bình chánh</t>
  </si>
  <si>
    <t>thu duc</t>
  </si>
  <si>
    <t>Nguyễn Thị Bích Phượng</t>
  </si>
  <si>
    <t>HD032514</t>
  </si>
  <si>
    <t>83 phan huy ích p15</t>
  </si>
  <si>
    <t>tan binh</t>
  </si>
  <si>
    <t>Trúc My</t>
  </si>
  <si>
    <t>HD032553</t>
  </si>
  <si>
    <t>Nam A Bank: 600 điện biên phủ, phường thành mỹ tây</t>
  </si>
  <si>
    <t>May Ngoc Nguyen</t>
  </si>
  <si>
    <t>HD032455</t>
  </si>
  <si>
    <t>Lô j nhà D chung cư bình Khánh</t>
  </si>
  <si>
    <t>Thảo</t>
  </si>
  <si>
    <t>HD032507</t>
  </si>
  <si>
    <t>500/35 đoàn văn bơ p14</t>
  </si>
  <si>
    <t>c.hieu</t>
  </si>
  <si>
    <t>Nguyễn Thị Bảo Loan</t>
  </si>
  <si>
    <t>HD032480</t>
  </si>
  <si>
    <t>tòa b2 chung cư lavida plus số 1181 nguyễn văn linh tần phong</t>
  </si>
  <si>
    <t>Bích Trinh</t>
  </si>
  <si>
    <t>HD032565</t>
  </si>
  <si>
    <t>675 nguyễn kiệm</t>
  </si>
  <si>
    <t>phu nhuan</t>
  </si>
  <si>
    <t>Nguyễn LyNa</t>
  </si>
  <si>
    <t>HD032305</t>
  </si>
  <si>
    <t>Chung cư số 1 tôn thất thuyết phường 1</t>
  </si>
  <si>
    <t>Huyền Trang</t>
  </si>
  <si>
    <t>HD032208</t>
  </si>
  <si>
    <t>406 Trần Hưng Đạo, P2</t>
  </si>
  <si>
    <t>Abie</t>
  </si>
  <si>
    <t>HD032502</t>
  </si>
  <si>
    <t>76 Cù Lao phường Cầu Kiêu (p2 )</t>
  </si>
  <si>
    <t>Kiều Trang</t>
  </si>
  <si>
    <t>HD032342</t>
  </si>
  <si>
    <t>53 A trần Hưng Đạo, Phường An Đông</t>
  </si>
  <si>
    <t>gặp Thủy fb Barbie Pham</t>
  </si>
  <si>
    <t>HD032369</t>
  </si>
  <si>
    <t>469 Nguyễn Hữu Thọ Tân Hưng</t>
  </si>
  <si>
    <t>Như Kem</t>
  </si>
  <si>
    <t>HD032317</t>
  </si>
  <si>
    <t>438 Bà Hạt phường 8</t>
  </si>
  <si>
    <t>Duyngan Phan</t>
  </si>
  <si>
    <t>HD032412</t>
  </si>
  <si>
    <t>53 nguyễn thị minh khai sài gòn</t>
  </si>
  <si>
    <t>Yen Thi Kim Le</t>
  </si>
  <si>
    <t>HD032551</t>
  </si>
  <si>
    <t>549 Điện Biên Phủ bàn cờ</t>
  </si>
  <si>
    <t>Thúy Hana</t>
  </si>
  <si>
    <t>HD032493</t>
  </si>
  <si>
    <t>De La Sol, 1 Tôn Thất Thuyết, Phường 1</t>
  </si>
  <si>
    <t>Nhung Dang</t>
  </si>
  <si>
    <t>HD032399</t>
  </si>
  <si>
    <t>17 Hưng gia3 Tân phong</t>
  </si>
  <si>
    <t>hàng sỉ</t>
  </si>
  <si>
    <t>Công ty Khải Nam</t>
  </si>
  <si>
    <t>363 Hùng Vương, Phường 9</t>
  </si>
  <si>
    <t>Tiền</t>
  </si>
  <si>
    <t>Số đơn</t>
  </si>
  <si>
    <t>Tiền Thu</t>
  </si>
  <si>
    <t>lợi nhuận</t>
  </si>
  <si>
    <t>cod</t>
  </si>
  <si>
    <t>Sài Gòn</t>
  </si>
  <si>
    <t>TỔNG ĐƠN NHẬN</t>
  </si>
  <si>
    <t>at 01-07</t>
  </si>
  <si>
    <t>Trừ Ship</t>
  </si>
  <si>
    <t>tiền ship</t>
  </si>
  <si>
    <t>Đơn trả &amp; c.khoản</t>
  </si>
  <si>
    <t>tiền lấy</t>
  </si>
  <si>
    <t>Tiền Hàng Hcm</t>
  </si>
  <si>
    <t>đơn trả</t>
  </si>
  <si>
    <t>shop</t>
  </si>
  <si>
    <t>đền đơn</t>
  </si>
  <si>
    <t>đơn cũ ck</t>
  </si>
  <si>
    <t>tổng</t>
  </si>
  <si>
    <t>nợ cũ</t>
  </si>
  <si>
    <t>THANH TOÁN</t>
  </si>
  <si>
    <t>CK Đủ 100%</t>
  </si>
  <si>
    <t>_col17</t>
  </si>
  <si>
    <t>NHUNG HM</t>
  </si>
  <si>
    <t>8/1 nguyễn ảnh thủ,trung Chánh</t>
  </si>
  <si>
    <t>hoc mon</t>
  </si>
  <si>
    <t>AT 02-07</t>
  </si>
  <si>
    <t>02-07-2026</t>
  </si>
  <si>
    <t>Tên phúc</t>
  </si>
  <si>
    <t>HD032750</t>
  </si>
  <si>
    <t>52 kinh duong vuong, Phú Lâm</t>
  </si>
  <si>
    <t>Đoàn Ngọc</t>
  </si>
  <si>
    <t>HD032751</t>
  </si>
  <si>
    <t>137/2 bình long, bình trị đông</t>
  </si>
  <si>
    <t>Nhung Xuxy</t>
  </si>
  <si>
    <t>HD032589</t>
  </si>
  <si>
    <t>2/11 thiên phước phường 9</t>
  </si>
  <si>
    <t>Ngoc Phuong Chau</t>
  </si>
  <si>
    <t>HD032816</t>
  </si>
  <si>
    <t>240/45c Thoại Ngọc hầu, phường Phú Thạnh</t>
  </si>
  <si>
    <t>Phương Lê</t>
  </si>
  <si>
    <t>HD032613</t>
  </si>
  <si>
    <t>94/40 Nguyễn thế truyện, phường Tân Sơn Nhì</t>
  </si>
  <si>
    <t>Minh Anh</t>
  </si>
  <si>
    <t>HD032803</t>
  </si>
  <si>
    <t>1A tạ quang bửu, phường 6 Chung cư tara B2.17.09</t>
  </si>
  <si>
    <t>Quỳnh Như</t>
  </si>
  <si>
    <t>HD032449</t>
  </si>
  <si>
    <t>1079 tạ quang bửu p6</t>
  </si>
  <si>
    <t>Mỹ - fb Tien Nguyen</t>
  </si>
  <si>
    <t>HD032825</t>
  </si>
  <si>
    <t>33C nguyễn háo vĩnh, p.Tân Quý</t>
  </si>
  <si>
    <t>kh ck shop 1655k</t>
  </si>
  <si>
    <t>Kim Nhân</t>
  </si>
  <si>
    <t>HD032821</t>
  </si>
  <si>
    <t>5M1/10 An Hạ</t>
  </si>
  <si>
    <t>người nhận : kim trang</t>
  </si>
  <si>
    <t>HD032597</t>
  </si>
  <si>
    <t>94/3/9 phú thọ hoà</t>
  </si>
  <si>
    <t>Hoà Lê</t>
  </si>
  <si>
    <t>số 42/43 - 45 Nguyễn Minh Hoàng, phường 12</t>
  </si>
  <si>
    <t>jenny bouti</t>
  </si>
  <si>
    <t>401 Quang trung f10</t>
  </si>
  <si>
    <t>Ngọc Vi</t>
  </si>
  <si>
    <t>HD032790</t>
  </si>
  <si>
    <t>80/67 hoàng hoa thám, phường gia định</t>
  </si>
  <si>
    <t>HD032775</t>
  </si>
  <si>
    <t>Như fb Cẩm Phúc</t>
  </si>
  <si>
    <t>HD032572</t>
  </si>
  <si>
    <t>14 đường 98, phường Thạnh Mỹ Lợi</t>
  </si>
  <si>
    <t>Lê Xuân Nghi</t>
  </si>
  <si>
    <t>HD032818</t>
  </si>
  <si>
    <t>56/1/1 đường số 6, linh trung</t>
  </si>
  <si>
    <t>Mỹ Hạnh</t>
  </si>
  <si>
    <t>HD032638</t>
  </si>
  <si>
    <t>448/65/2 Phan Huy Ích P.12</t>
  </si>
  <si>
    <t>Thanh Thuy</t>
  </si>
  <si>
    <t>HD032620</t>
  </si>
  <si>
    <t>220/62 Xô viết nghệ tĩnh,phường thành mỹ Tây</t>
  </si>
  <si>
    <t>Nguyễn Thị Mỹ Phúc</t>
  </si>
  <si>
    <t>HD032766</t>
  </si>
  <si>
    <t>nha The Sun Avenue (tòa S5) 28 Mai Chí Thọ, An Phú</t>
  </si>
  <si>
    <t>Minh Nguyệt + Lin Xiao + Hàng Air</t>
  </si>
  <si>
    <t>HD032521</t>
  </si>
  <si>
    <t>C16-17 lô C1, đường DD5, phường Đông Hưng Thuận</t>
  </si>
  <si>
    <t>Ánh Hoàng</t>
  </si>
  <si>
    <t>HD032552</t>
  </si>
  <si>
    <t>Stown tham lương đường C, phường tân thới nhất</t>
  </si>
  <si>
    <t>Doan Ngoc Phuong Anh</t>
  </si>
  <si>
    <t>HD032396</t>
  </si>
  <si>
    <t>664/119 Nguyễn Đình Chiểu p3</t>
  </si>
  <si>
    <t>Anh Lee</t>
  </si>
  <si>
    <t>HD032611</t>
  </si>
  <si>
    <t>89 lê thị chợ p phú thuận</t>
  </si>
  <si>
    <t>Hồng Nhung</t>
  </si>
  <si>
    <t>HD032645</t>
  </si>
  <si>
    <t>292 khánh hội</t>
  </si>
  <si>
    <t>Ngọc Dung</t>
  </si>
  <si>
    <t>HD032781</t>
  </si>
  <si>
    <t>2581/79a huỳnh tấn phát</t>
  </si>
  <si>
    <t>nha be</t>
  </si>
  <si>
    <t>Meng Korng</t>
  </si>
  <si>
    <t>HD031761</t>
  </si>
  <si>
    <t>cttnhh Khải nam 363 hùng vương p9</t>
  </si>
  <si>
    <t>Tuyết Nhi</t>
  </si>
  <si>
    <t>HD032802</t>
  </si>
  <si>
    <t>Block d2, chung cư sài gòn riverside (số 4 đào trí, phú thuận )</t>
  </si>
  <si>
    <t>HD032778</t>
  </si>
  <si>
    <t>Trang Angels</t>
  </si>
  <si>
    <t>HD031880</t>
  </si>
  <si>
    <t>nhà 20 đường 2B, phường Tân Mỹ</t>
  </si>
  <si>
    <t>Hải Yến</t>
  </si>
  <si>
    <t>HD032822</t>
  </si>
  <si>
    <t>28 Thi Sách, P Bến Nghé</t>
  </si>
  <si>
    <t>Ngoc Venus</t>
  </si>
  <si>
    <t>HD032801</t>
  </si>
  <si>
    <t>69 phổ tiểu nam, p. Tân Phú</t>
  </si>
  <si>
    <t>Hà Anh</t>
  </si>
  <si>
    <t>HD032496</t>
  </si>
  <si>
    <t>The Peak Midtown M8 - Block I đường số 16, KĐT Phú Mỹ Hưng, Tân Mỹ</t>
  </si>
  <si>
    <t>Hằng Pu</t>
  </si>
  <si>
    <t>HD032594</t>
  </si>
  <si>
    <t>Sunrise reverside Block k</t>
  </si>
  <si>
    <t>Ngân</t>
  </si>
  <si>
    <t>HD032176</t>
  </si>
  <si>
    <t>Tòa Nhà The Tresor - Sảnh AP1, 39-39B Đường Bến Vân Đồn</t>
  </si>
  <si>
    <t>luu tra</t>
  </si>
  <si>
    <t>30-06-2026</t>
  </si>
  <si>
    <t>x</t>
  </si>
  <si>
    <t>xx</t>
  </si>
  <si>
    <t>at 02-07</t>
  </si>
  <si>
    <t>1 đơn</t>
  </si>
  <si>
    <t>Em Huy</t>
  </si>
  <si>
    <t>HD032688</t>
  </si>
  <si>
    <t>06 vườn lài, phường phú thọ hòa</t>
  </si>
  <si>
    <t>AT 03-07</t>
  </si>
  <si>
    <t>03-07-2026</t>
  </si>
  <si>
    <t>Nguyễn Lý Kim Ngân</t>
  </si>
  <si>
    <t>HD033080</t>
  </si>
  <si>
    <t>137/31/14 phan anh, phường bình trị đông</t>
  </si>
  <si>
    <t>Ngoc Phan</t>
  </si>
  <si>
    <t>HD033065</t>
  </si>
  <si>
    <t>Số 8, đường DC9, phường Sơn Kỳ</t>
  </si>
  <si>
    <t>HD032913</t>
  </si>
  <si>
    <t>D12/4 le thi dung xa Vĩnh loc a bình chanh</t>
  </si>
  <si>
    <t>gộp</t>
  </si>
  <si>
    <t>HD032891</t>
  </si>
  <si>
    <t>D12/4 le thi dung xa Vĩnh lọc a bình chanh</t>
  </si>
  <si>
    <t>VTS-25885MUN</t>
  </si>
  <si>
    <t>HD032576</t>
  </si>
  <si>
    <t>131 Trần Đại Nghĩa, Ấp 32, Xã Tân Nhựt</t>
  </si>
  <si>
    <t>Mie</t>
  </si>
  <si>
    <t>HD032935</t>
  </si>
  <si>
    <t>599 hương lộ 2 bình trị đông</t>
  </si>
  <si>
    <t>Nguyễn Hương Ly</t>
  </si>
  <si>
    <t>HD033044</t>
  </si>
  <si>
    <t>398/7 đường hem ma lo . Phương binh hung hoa</t>
  </si>
  <si>
    <t>Hằng Hằng</t>
  </si>
  <si>
    <t>HD032897</t>
  </si>
  <si>
    <t>A3.9.09 Tháp A3 Chung Cu Diamond Alnata, So 03, Đường Tân Thạnh, Phường Tân Sơn Nhì</t>
  </si>
  <si>
    <t>Bé Loan</t>
  </si>
  <si>
    <t>HD032890</t>
  </si>
  <si>
    <t>631/49 tl10 p binh trị đông b</t>
  </si>
  <si>
    <t>NGÂN HÀ</t>
  </si>
  <si>
    <t>40 đường 53 p10</t>
  </si>
  <si>
    <t>Vy</t>
  </si>
  <si>
    <t>HD031310</t>
  </si>
  <si>
    <t>VinHomes grand park tòa Bs8A, phường Long Bình</t>
  </si>
  <si>
    <t>Nguyễn Trương Phương Oanh</t>
  </si>
  <si>
    <t>HD033114</t>
  </si>
  <si>
    <t>125/42/2 Bùi Đình Tuý, phường 14</t>
  </si>
  <si>
    <t>HD033068</t>
  </si>
  <si>
    <t>BN6352</t>
  </si>
  <si>
    <t>HD032793</t>
  </si>
  <si>
    <t>163 Đường Trương Thị Hoa, phường Tân Thới Hiệp</t>
  </si>
  <si>
    <t>Mỹ Ngọc</t>
  </si>
  <si>
    <t>HD033093</t>
  </si>
  <si>
    <t>242 nguyễn oanh, phường gò vấp</t>
  </si>
  <si>
    <t>Đỗ Phong website</t>
  </si>
  <si>
    <t>HD033086</t>
  </si>
  <si>
    <t>46/3 trần thị điệu, phường phước long B</t>
  </si>
  <si>
    <t>Kiều Mi</t>
  </si>
  <si>
    <t>HD033117</t>
  </si>
  <si>
    <t>Ch2 p4 đường số 10 cityland phan văn trị</t>
  </si>
  <si>
    <t>Lưu Quynh Trang</t>
  </si>
  <si>
    <t>HD033048</t>
  </si>
  <si>
    <t>867 nội khu nam thông 2D, phường tân phú</t>
  </si>
  <si>
    <t>Truc Huynh</t>
  </si>
  <si>
    <t>HD032859</t>
  </si>
  <si>
    <t>1178 đường 3/2 hòa hưng chung cư hà đô</t>
  </si>
  <si>
    <t>Ái Nhi</t>
  </si>
  <si>
    <t>HD033066</t>
  </si>
  <si>
    <t>23 nguyễn hữu thọ sunrise city block v3 tân hưng</t>
  </si>
  <si>
    <t>HD033069</t>
  </si>
  <si>
    <t>Mỹ Hương</t>
  </si>
  <si>
    <t>HD032928</t>
  </si>
  <si>
    <t>370 Nguyễn Văn quỳ, phường Phú Thuận</t>
  </si>
  <si>
    <t>Huỳnh Dương</t>
  </si>
  <si>
    <t>HD033063</t>
  </si>
  <si>
    <t>151 đường 9a khu trung sơn bình hưng Dương Block C</t>
  </si>
  <si>
    <t>Kim Thu</t>
  </si>
  <si>
    <t>HD033108</t>
  </si>
  <si>
    <t>Chung cư saigon mia lock C, đường 9a, kdc trung sơn</t>
  </si>
  <si>
    <t>Trang Hồ Vĩnh Như</t>
  </si>
  <si>
    <t>HD032900</t>
  </si>
  <si>
    <t>35 đặng đức thuật, chung cư RIVERPARK PREMIER Block A, p. Tân Hưng</t>
  </si>
  <si>
    <t>HD033076</t>
  </si>
  <si>
    <t>Bảo Ngọc</t>
  </si>
  <si>
    <t>HD033012</t>
  </si>
  <si>
    <t>100 cô giang , chung cư SOHO</t>
  </si>
  <si>
    <t>Kim Ju CUS One Eight Zero Six Seven</t>
  </si>
  <si>
    <t>HD032686</t>
  </si>
  <si>
    <t>270B Lý thường kiệt, khu phố 1, Phường 6</t>
  </si>
  <si>
    <t>Quyên Quyên</t>
  </si>
  <si>
    <t>HD032975</t>
  </si>
  <si>
    <t>30.đuong vĩnh hội p vĩnh hội</t>
  </si>
  <si>
    <t>HD032979</t>
  </si>
  <si>
    <t>664/119 Nguyễn Đình Chiều p3</t>
  </si>
  <si>
    <t>Trang Lê</t>
  </si>
  <si>
    <t>HD033079</t>
  </si>
  <si>
    <t>8A Sông Thương P2</t>
  </si>
  <si>
    <t>Quỳnh Anh Lưu</t>
  </si>
  <si>
    <t>HD032999</t>
  </si>
  <si>
    <t>tk14/27 nguyễn cảnh chân</t>
  </si>
  <si>
    <t>Tuyết Nhung</t>
  </si>
  <si>
    <t>HD033062</t>
  </si>
  <si>
    <t>Empress Tower: 138 - 142 Hai Bà Trưng, P. Sài Gòn</t>
  </si>
  <si>
    <t>Fang Fang</t>
  </si>
  <si>
    <t>A75/6B/2 Bạch Đằng, Phường 2</t>
  </si>
  <si>
    <t>Pông Pông</t>
  </si>
  <si>
    <t>HD031566</t>
  </si>
  <si>
    <t>1491/9 phạm thế hiển p6</t>
  </si>
  <si>
    <t>29-06-2026</t>
  </si>
  <si>
    <t>at 03-07</t>
  </si>
  <si>
    <t>linda tran ( fb Jin Jin)</t>
  </si>
  <si>
    <t>HD033268</t>
  </si>
  <si>
    <t>66 đường số 7, p10</t>
  </si>
  <si>
    <t>AT 04-07</t>
  </si>
  <si>
    <t>04-07-2026</t>
  </si>
  <si>
    <t>Bùi Vĩ Thương</t>
  </si>
  <si>
    <t>HD033145</t>
  </si>
  <si>
    <t>3273 phạm thế hiển, p7</t>
  </si>
  <si>
    <t>“NAPATSORN7416”</t>
  </si>
  <si>
    <t>HD033319</t>
  </si>
  <si>
    <t>275/14B1 Đặng Nguyên Cẩn, Phường Phú Lâm</t>
  </si>
  <si>
    <t>Vy Vy - VY VY LE YUAN</t>
  </si>
  <si>
    <t>HD033333</t>
  </si>
  <si>
    <t>66 đường số 17, phường Bình phú</t>
  </si>
  <si>
    <t>fb Thuyền Quyên</t>
  </si>
  <si>
    <t>HD033358</t>
  </si>
  <si>
    <t>688/23/1C hương lộ 2, phường bình trị đông A</t>
  </si>
  <si>
    <t>HD033168</t>
  </si>
  <si>
    <t>Nhật Mỹ</t>
  </si>
  <si>
    <t>HD033357</t>
  </si>
  <si>
    <t>769/220 họ thanh bien p4</t>
  </si>
  <si>
    <t>BELLA TRẦN</t>
  </si>
  <si>
    <t>66đường 17 p10</t>
  </si>
  <si>
    <t>Diệu Quyên</t>
  </si>
  <si>
    <t>HD033334</t>
  </si>
  <si>
    <t>242/20 phạm văn bạch p15</t>
  </si>
  <si>
    <t>Tran Thi Thuy Trang</t>
  </si>
  <si>
    <t>HD033239</t>
  </si>
  <si>
    <t>184 nguyễn xí- cc Bắc Đinh Bộ Lĩnh - lô A82 căn cầu thang cuối cùng, Phường 26</t>
  </si>
  <si>
    <t>Nytha- phòng 212</t>
  </si>
  <si>
    <t>HD032923</t>
  </si>
  <si>
    <t>392/2 ung văn khiêm p25</t>
  </si>
  <si>
    <t>BN10247</t>
  </si>
  <si>
    <t>HD030667</t>
  </si>
  <si>
    <t>Capynehaha Haha</t>
  </si>
  <si>
    <t>HD033184</t>
  </si>
  <si>
    <t>129 bùi tá hán,bình trưng</t>
  </si>
  <si>
    <t>Quach Kim Thanh</t>
  </si>
  <si>
    <t>HD033171</t>
  </si>
  <si>
    <t>Số 144c, Đường Trần Thị Trọng,p Tân Sơn</t>
  </si>
  <si>
    <t>Pham Jenny</t>
  </si>
  <si>
    <t>HD033344</t>
  </si>
  <si>
    <t>208 nguyễn hữu cảnh p22, Vinhome landmark plus</t>
  </si>
  <si>
    <t>HD033343</t>
  </si>
  <si>
    <t>LISA</t>
  </si>
  <si>
    <t>173 phan huy ích, phường tân sơn</t>
  </si>
  <si>
    <t>Kim Tuyền</t>
  </si>
  <si>
    <t>HD033339</t>
  </si>
  <si>
    <t>83/1 bạch đồng phường 2</t>
  </si>
  <si>
    <t>Na</t>
  </si>
  <si>
    <t>HD033152</t>
  </si>
  <si>
    <t>96a đường 79 tân quy</t>
  </si>
  <si>
    <t>Như Hiếu</t>
  </si>
  <si>
    <t>HD033330</t>
  </si>
  <si>
    <t>119 tôn thất thuyết, phường 15</t>
  </si>
  <si>
    <t>An Trường Hải</t>
  </si>
  <si>
    <t>HD033312</t>
  </si>
  <si>
    <t>793/58/5 Trần Xuân Soạn, phường Tân Hưng</t>
  </si>
  <si>
    <t>Thỏ Bunny</t>
  </si>
  <si>
    <t>HD033221</t>
  </si>
  <si>
    <t>vinhome golden river, aqua 2, tôn đức thắng, bến nghé</t>
  </si>
  <si>
    <t>Elena Nguyễn</t>
  </si>
  <si>
    <t>HD033195</t>
  </si>
  <si>
    <t>56/41 duong ba trạc, Phường 02</t>
  </si>
  <si>
    <t>Ngoc Pham</t>
  </si>
  <si>
    <t>HD033370</t>
  </si>
  <si>
    <t>80 BÀ HUYỆN THANH QUAN, P.9</t>
  </si>
  <si>
    <t>Người nhận: Mít</t>
  </si>
  <si>
    <t>HD033216</t>
  </si>
  <si>
    <t>122/27/56/5/31 tôn đản, P. Khánh Hội</t>
  </si>
  <si>
    <t>Trần Thảo Nguyên</t>
  </si>
  <si>
    <t>HD033169</t>
  </si>
  <si>
    <t>39 Nguyen Hữu Thọ P.Tân Hưng</t>
  </si>
  <si>
    <t>Trúc Quỳnh</t>
  </si>
  <si>
    <t>HD033338</t>
  </si>
  <si>
    <t>119/7 Nguyễn thị thập, Tân Phú</t>
  </si>
  <si>
    <t>Linh Nguyen</t>
  </si>
  <si>
    <t>HD033232</t>
  </si>
  <si>
    <t>Tháp i Sunrise nguyễn hữu thọ xã phước kiển</t>
  </si>
  <si>
    <t>at 04-07</t>
  </si>
  <si>
    <t>Tú Anh</t>
  </si>
  <si>
    <t>HD033667</t>
  </si>
  <si>
    <t>Lumiere boulevard angelica/ phường long bình</t>
  </si>
  <si>
    <t>a.quyen</t>
  </si>
  <si>
    <t>06-07-2026</t>
  </si>
  <si>
    <t>Khả Hân</t>
  </si>
  <si>
    <t>HD033499</t>
  </si>
  <si>
    <t>chung cư Hora Kikyo Phú Hữu</t>
  </si>
  <si>
    <t>Thương 1994</t>
  </si>
  <si>
    <t>Tòa S501, Vinhome grand park, Long Thạnh Mỹ</t>
  </si>
  <si>
    <t>Ngân Kim</t>
  </si>
  <si>
    <t>T8-20 mahattan Unhomes grand park, long bình</t>
  </si>
  <si>
    <t>Nhi</t>
  </si>
  <si>
    <t>HD033443</t>
  </si>
  <si>
    <t>71/14 trịnh đình trọng - phú trung</t>
  </si>
  <si>
    <t>AT 06-07</t>
  </si>
  <si>
    <t>Phuong Thao</t>
  </si>
  <si>
    <t>HD033587</t>
  </si>
  <si>
    <t>22/5b, Đường Xuân Thái Thượng 12 ( Xtt 12 ), Ấp L, Xã Bà Điểm</t>
  </si>
  <si>
    <t>Trân Nguyễn</t>
  </si>
  <si>
    <t>HD033694</t>
  </si>
  <si>
    <t>274 Bình Thới P10</t>
  </si>
  <si>
    <t>Pham Ngoc Nhat Vy</t>
  </si>
  <si>
    <t>HD033620</t>
  </si>
  <si>
    <t>C8 cu xa Phu Tho Hoa p10</t>
  </si>
  <si>
    <t>Jenny Zalo Lê anh</t>
  </si>
  <si>
    <t>HD033714</t>
  </si>
  <si>
    <t>Số 17 Đường Số 13, Phường Bình Hưng Hoà</t>
  </si>
  <si>
    <t>Dung</t>
  </si>
  <si>
    <t>HD033668</t>
  </si>
  <si>
    <t>Chung cư topaz elite d2b</t>
  </si>
  <si>
    <t>C. My - FB Kim Trang</t>
  </si>
  <si>
    <t>HD033558</t>
  </si>
  <si>
    <t>94/3/9 Phú Thọ Hòa</t>
  </si>
  <si>
    <t>Ngọc tiên</t>
  </si>
  <si>
    <t>HD033608</t>
  </si>
  <si>
    <t>137b trịnh đình trọng p.Phú Trung</t>
  </si>
  <si>
    <t>Thảo Nhi Nguyễn</t>
  </si>
  <si>
    <t>HD033622</t>
  </si>
  <si>
    <t>170 hồng bàng, phường chợ lớn</t>
  </si>
  <si>
    <t>MC Sanita Mao (MV01908)</t>
  </si>
  <si>
    <t>HD033523</t>
  </si>
  <si>
    <t>315/18/6 Nguyễn Thị Tú</t>
  </si>
  <si>
    <t>HD033433</t>
  </si>
  <si>
    <t>Jess-9244</t>
  </si>
  <si>
    <t>275/14B1 Đặng Nguyễn Cẩn, Phú Lâm</t>
  </si>
  <si>
    <t>Dư Minh Châu</t>
  </si>
  <si>
    <t>HD033708</t>
  </si>
  <si>
    <t>107 nguyễn cơ thạch, an khánh</t>
  </si>
  <si>
    <t>To Uyen</t>
  </si>
  <si>
    <t>HD033477</t>
  </si>
  <si>
    <t>275/16 hà huy giáp</t>
  </si>
  <si>
    <t>Nguyễn Thị Thuỳ Trang</t>
  </si>
  <si>
    <t>HD033709</t>
  </si>
  <si>
    <t>41A Huỳnh Tịnh Của p19</t>
  </si>
  <si>
    <t>Hồng Phương</t>
  </si>
  <si>
    <t>HD033647</t>
  </si>
  <si>
    <t>Empire city - Toà Linden 2B Mai Chí Thọ, Phường Thủ Thiêm</t>
  </si>
  <si>
    <t>Phan Nhi KHÔNG HỘP</t>
  </si>
  <si>
    <t>HD033511</t>
  </si>
  <si>
    <t>107/189 quang trung, f.10</t>
  </si>
  <si>
    <t>Hongnguyen Cr</t>
  </si>
  <si>
    <t>HD033609</t>
  </si>
  <si>
    <t>360 nguyễn oanh, p17</t>
  </si>
  <si>
    <t>BN182 miki chouchou Fb</t>
  </si>
  <si>
    <t>HD033710</t>
  </si>
  <si>
    <t>Cô Dung fb Soomin Lee</t>
  </si>
  <si>
    <t>HD033752</t>
  </si>
  <si>
    <t>158/11a Bình Quới, phường Bình Quới</t>
  </si>
  <si>
    <t>Phạm Thị Thanh Hà</t>
  </si>
  <si>
    <t>HD033347</t>
  </si>
  <si>
    <t>18/7 thanh đa f27</t>
  </si>
  <si>
    <t>huỳnh ngân (em bích thảo)</t>
  </si>
  <si>
    <t>HD033461</t>
  </si>
  <si>
    <t>128/78 lê văn duyệt, phường gia định</t>
  </si>
  <si>
    <t>Mén HM</t>
  </si>
  <si>
    <t>HD033415</t>
  </si>
  <si>
    <t>Toà landmark 2</t>
  </si>
  <si>
    <t>Linh Dịu Dàng</t>
  </si>
  <si>
    <t>HD033596</t>
  </si>
  <si>
    <t>14/15/8 đường 53 p14</t>
  </si>
  <si>
    <t>Thơm Thơm</t>
  </si>
  <si>
    <t>HD033595</t>
  </si>
  <si>
    <t>119 nguyễn văn công p. Hạnh Thông</t>
  </si>
  <si>
    <t>Kim Oanh</t>
  </si>
  <si>
    <t>HD033655</t>
  </si>
  <si>
    <t>Nhà công vụ trưởng quân sự Quân khu 7, đường Tô Ký, phường Trung Mỹ Tây</t>
  </si>
  <si>
    <t>Mook Code: W24317</t>
  </si>
  <si>
    <t>HD033660</t>
  </si>
  <si>
    <t>624 Lê Thị Riêng</t>
  </si>
  <si>
    <t>BN7123</t>
  </si>
  <si>
    <t>HD023205</t>
  </si>
  <si>
    <t>163 Trương Thị Hoa</t>
  </si>
  <si>
    <t>Hòa Lê</t>
  </si>
  <si>
    <t>Ly Clara Selena</t>
  </si>
  <si>
    <t>403 Tân Sơn P12</t>
  </si>
  <si>
    <t>Trang Trần 2</t>
  </si>
  <si>
    <t>384/22 Phạm Văn Bạch, Tân Sơn</t>
  </si>
  <si>
    <t>Hàng của Lan</t>
  </si>
  <si>
    <t>220/120 Nguyễn Văn Khối P9</t>
  </si>
  <si>
    <t>Thu Thủy</t>
  </si>
  <si>
    <t>HD033576</t>
  </si>
  <si>
    <t>181 đường 79 tân quy</t>
  </si>
  <si>
    <t>Khu Đô Thị Izumi</t>
  </si>
  <si>
    <t>HD033653</t>
  </si>
  <si>
    <t>39 bến vân đồn f13</t>
  </si>
  <si>
    <t>HD033514</t>
  </si>
  <si>
    <t>Diệu Hiền</t>
  </si>
  <si>
    <t>HD033715</t>
  </si>
  <si>
    <t>174 đường số 36 PTân Quy</t>
  </si>
  <si>
    <t>tuyền</t>
  </si>
  <si>
    <t>HD033749</t>
  </si>
  <si>
    <t>1/12A calmette, phường nguyễn thái bình</t>
  </si>
  <si>
    <t>Ngọc Ngọc</t>
  </si>
  <si>
    <t>HD033753</t>
  </si>
  <si>
    <t>156/5/27 tô hiến thành, p hoà hưng</t>
  </si>
  <si>
    <t>HD033270</t>
  </si>
  <si>
    <t>Phạm Anh Thư</t>
  </si>
  <si>
    <t>HD033441</t>
  </si>
  <si>
    <t>Chung cư De La Sol, 01 Tôn Thất Thuyết, Phường 1</t>
  </si>
  <si>
    <t>Kim Anh</t>
  </si>
  <si>
    <t>HD033436</t>
  </si>
  <si>
    <t>39b nguyễn văn linh, tân thuận tây</t>
  </si>
  <si>
    <t>Vy Tépp</t>
  </si>
  <si>
    <t>HD033625</t>
  </si>
  <si>
    <t>173/42 thành thái</t>
  </si>
  <si>
    <t>Lương Thu Trang</t>
  </si>
  <si>
    <t>HD033669</t>
  </si>
  <si>
    <t>1073/63B Cách Mạng Tháng Tám, Tân Sơn Nhất</t>
  </si>
  <si>
    <t>borameyyy 015738168</t>
  </si>
  <si>
    <t>HD033230</t>
  </si>
  <si>
    <t>363-365-367, 363 Đ. Hùng Vương, Phường 9</t>
  </si>
  <si>
    <t>HD033764</t>
  </si>
  <si>
    <t>Nguyễn Tố Mai</t>
  </si>
  <si>
    <t>HD033506</t>
  </si>
  <si>
    <t>413/8 lê văn sỹ p12</t>
  </si>
  <si>
    <t>Cẩm Nhung</t>
  </si>
  <si>
    <t>HD033758</t>
  </si>
  <si>
    <t>160/34/22 nguyễn văn quỳ phú thuận</t>
  </si>
  <si>
    <t>Trần Thị Quỳnh Giang</t>
  </si>
  <si>
    <t>HD033505</t>
  </si>
  <si>
    <t>35 Võ Văn Tần, phường Võ Thị Sáu</t>
  </si>
  <si>
    <t>Ngô Tâm Tâm</t>
  </si>
  <si>
    <t>HD031695</t>
  </si>
  <si>
    <t>Số 17 đường số hai cư xá độ thành p4</t>
  </si>
  <si>
    <t>VVi Eva</t>
  </si>
  <si>
    <t>141 Hùng Vương P4</t>
  </si>
  <si>
    <t>Su Anh</t>
  </si>
  <si>
    <t>72/5 Giải Phóng, Tân Sơn Nhất</t>
  </si>
  <si>
    <t>NGUYÊN NGUYÊN</t>
  </si>
  <si>
    <t>12 TÔN ĐẢN P13</t>
  </si>
  <si>
    <t>Lyly92.13 @lyly92.13</t>
  </si>
  <si>
    <t>HD033666</t>
  </si>
  <si>
    <t>Khánh bình 70 khu phố Khánh Lộc Tân Uyên Tân hiệp</t>
  </si>
  <si>
    <t>tinh</t>
  </si>
  <si>
    <t>hàng tỉnh</t>
  </si>
  <si>
    <t>at 06-07</t>
  </si>
  <si>
    <t>Uyên Nhii</t>
  </si>
  <si>
    <t>HD033885</t>
  </si>
  <si>
    <t>33 Đường Số 33A P. An Lạc</t>
  </si>
  <si>
    <t>AT 07-07</t>
  </si>
  <si>
    <t>07-07-2026</t>
  </si>
  <si>
    <t>Ny Na</t>
  </si>
  <si>
    <t>HD033892</t>
  </si>
  <si>
    <t>980/4b lo gom p8</t>
  </si>
  <si>
    <t>SS3164 - Mrskill) S5 Cargo Shipping</t>
  </si>
  <si>
    <t>HD033998</t>
  </si>
  <si>
    <t>674 đường số 2, Phường 13</t>
  </si>
  <si>
    <t>Linh Nguyễn</t>
  </si>
  <si>
    <t>HD034003</t>
  </si>
  <si>
    <t>802/11 hương lộ 2, phường bình trị đông a</t>
  </si>
  <si>
    <t>Nguyễn Chi</t>
  </si>
  <si>
    <t>HD033970</t>
  </si>
  <si>
    <t>51-53 duong số 57c f tân tạo</t>
  </si>
  <si>
    <t>Lam Nguyen</t>
  </si>
  <si>
    <t>HD033847</t>
  </si>
  <si>
    <t>M37/15 Cư Xá Phú Lâm A Phường 12</t>
  </si>
  <si>
    <t>Giang Hương</t>
  </si>
  <si>
    <t>HD034017</t>
  </si>
  <si>
    <t>111 đường số 10 phường 13</t>
  </si>
  <si>
    <t>Trúc Ly</t>
  </si>
  <si>
    <t>HD034021</t>
  </si>
  <si>
    <t>280 Bình Trị Đông, Phường Bình Trị Đông</t>
  </si>
  <si>
    <t>Nhiên Huỳnh</t>
  </si>
  <si>
    <t>HD033798</t>
  </si>
  <si>
    <t>Số 49, Đường Số 2, Khu Phố 4 Phường An Khánh</t>
  </si>
  <si>
    <t>Nuong Huynh</t>
  </si>
  <si>
    <t>HD034016</t>
  </si>
  <si>
    <t>mai chí thọ, phường an phú, Cc lexington block B</t>
  </si>
  <si>
    <t>Như Huỳnh</t>
  </si>
  <si>
    <t>HD034024</t>
  </si>
  <si>
    <t>32a đường số 51 p an hội tây</t>
  </si>
  <si>
    <t>Lọ Lem</t>
  </si>
  <si>
    <t>HD033907</t>
  </si>
  <si>
    <t>484B no trang long p13</t>
  </si>
  <si>
    <t>Nguyễn Hương Giang</t>
  </si>
  <si>
    <t>HD033851</t>
  </si>
  <si>
    <t>170C Quang Trung, p.10</t>
  </si>
  <si>
    <t>HD033800</t>
  </si>
  <si>
    <t>chung cư Flora Kikyo Phú Hữu</t>
  </si>
  <si>
    <t>NINI AIR LENH LENH</t>
  </si>
  <si>
    <t>HD033973</t>
  </si>
  <si>
    <t>144C Trấn Thị Trọng, Phường 15</t>
  </si>
  <si>
    <t>Yến Vy</t>
  </si>
  <si>
    <t>HD033726</t>
  </si>
  <si>
    <t>Chung cư Sky9 CT1, đường Liên Phường, phường Long Trường</t>
  </si>
  <si>
    <t>Thảo Phạm</t>
  </si>
  <si>
    <t>NHÀ XE MINH QUỐC VỀ KOM TUM</t>
  </si>
  <si>
    <t>Nhi Nhi fb Nhi Nhi Nè</t>
  </si>
  <si>
    <t>HD033787</t>
  </si>
  <si>
    <t>109 Bến Vân Đồn P9</t>
  </si>
  <si>
    <t>mimi</t>
  </si>
  <si>
    <t>HD033767</t>
  </si>
  <si>
    <t>339/24B Đ. Lê Văn Sỹ, Phường 13</t>
  </si>
  <si>
    <t>kh ck shop 645k</t>
  </si>
  <si>
    <t>Mai Nguyen</t>
  </si>
  <si>
    <t>HD033833</t>
  </si>
  <si>
    <t>9a bình hưng, Chung cư saigon mia, block A</t>
  </si>
  <si>
    <t>Huth Luyến</t>
  </si>
  <si>
    <t>HD033838</t>
  </si>
  <si>
    <t>Ba bùi thị xuân, phường phạm ngũ lão</t>
  </si>
  <si>
    <t>Nga Nga</t>
  </si>
  <si>
    <t>HD033860</t>
  </si>
  <si>
    <t>SENDONA SUITES - 67 LÊ LỢI, Sài Gòn</t>
  </si>
  <si>
    <t>Vương Huệ</t>
  </si>
  <si>
    <t>HD034026</t>
  </si>
  <si>
    <t>80 đg số 3 tân kiểng</t>
  </si>
  <si>
    <t>Ngọc Cẩm</t>
  </si>
  <si>
    <t>HD034025</t>
  </si>
  <si>
    <t>56 Bến Vân Đồn, phường Xóm Chiếu</t>
  </si>
  <si>
    <t>Lynn Hong</t>
  </si>
  <si>
    <t>HD033963</t>
  </si>
  <si>
    <t>52B Phạm Hồng Thái</t>
  </si>
  <si>
    <t>Viên Trương</t>
  </si>
  <si>
    <t>HD033890</t>
  </si>
  <si>
    <t>Xi Grand Court Block C 258 lý thường kiệt phường 14</t>
  </si>
  <si>
    <t>Ngọc Thuý - fb Nhi Do</t>
  </si>
  <si>
    <t>HD033848</t>
  </si>
  <si>
    <t>Số 1242b, Đường Lê Văn Lương, Ấp 3, Xã Phước Kiển</t>
  </si>
  <si>
    <t>Hồng Lê</t>
  </si>
  <si>
    <t>HD033875</t>
  </si>
  <si>
    <t>1142 Trường Sa Phường Phú Nhuận</t>
  </si>
  <si>
    <t>HD034028</t>
  </si>
  <si>
    <t>Kim Hân</t>
  </si>
  <si>
    <t>HD033879</t>
  </si>
  <si>
    <t>302 nguyễn chí thanh p5</t>
  </si>
  <si>
    <t>RIANA + Fanessa</t>
  </si>
  <si>
    <t>HD033843</t>
  </si>
  <si>
    <t>SAO MAI HOTEL 82 Tôn Thất Tùng, Bến Thành</t>
  </si>
  <si>
    <t>at 07-07</t>
  </si>
  <si>
    <t>Bảo Uyên</t>
  </si>
  <si>
    <t>HD034414</t>
  </si>
  <si>
    <t>Origami s6.06 vinhomes grand park cầu vòng 3 long bình</t>
  </si>
  <si>
    <t>08-07-2026</t>
  </si>
  <si>
    <t>Trâm</t>
  </si>
  <si>
    <t>HD034177</t>
  </si>
  <si>
    <t>Toà s501 vinhome grandpark</t>
  </si>
  <si>
    <t>nguyễn minh hải - kèm vânhugo</t>
  </si>
  <si>
    <t>HD034113</t>
  </si>
  <si>
    <t>số 17 đường số 13, phường bình hưng hòa</t>
  </si>
  <si>
    <t>AT 08-07</t>
  </si>
  <si>
    <t>Ng nhận : Mai trần</t>
  </si>
  <si>
    <t>HD034379</t>
  </si>
  <si>
    <t>532/3/6 kinh dương vương, Phường An Lạc</t>
  </si>
  <si>
    <t>Tên người nhận: Mixi(Mai)</t>
  </si>
  <si>
    <t>HD034398</t>
  </si>
  <si>
    <t>428/33 Quốc Lộ 1A, Phường Bình Hưng Hoà B</t>
  </si>
  <si>
    <t>HD034125</t>
  </si>
  <si>
    <t>Hy An</t>
  </si>
  <si>
    <t>HD034216</t>
  </si>
  <si>
    <t>226 an dương vương, p bình phú</t>
  </si>
  <si>
    <t>Minh Hải ( FB: Nguyên quyền linh)</t>
  </si>
  <si>
    <t>HD034309</t>
  </si>
  <si>
    <t>17 Đường Số 13 Bình Hưng Hoà</t>
  </si>
  <si>
    <t>Ánh</t>
  </si>
  <si>
    <t>HD034171</t>
  </si>
  <si>
    <t>Diamond Lotus RiverSide - block C</t>
  </si>
  <si>
    <t>Tú Oanh - fb Không Nói Xàm</t>
  </si>
  <si>
    <t>HD034118</t>
  </si>
  <si>
    <t>69 Dương Đình Nghệ P8</t>
  </si>
  <si>
    <t>Phạm Dung</t>
  </si>
  <si>
    <t>HD034217</t>
  </si>
  <si>
    <t>208 nguyễn hữu cảnh phường 22 chung cư vinhome toànanmark 5</t>
  </si>
  <si>
    <t>W3279</t>
  </si>
  <si>
    <t>HD034223</t>
  </si>
  <si>
    <t>624 Lê thị riêng,thới an</t>
  </si>
  <si>
    <t>HD034387</t>
  </si>
  <si>
    <t>HD034302</t>
  </si>
  <si>
    <t>Chí Thuận fb Tố Oanh</t>
  </si>
  <si>
    <t>HD034391</t>
  </si>
  <si>
    <t>1/68 Nguyễn Thái Sơn, Phường Hạnh Thông</t>
  </si>
  <si>
    <t>THÁI HÀ</t>
  </si>
  <si>
    <t>HD034251</t>
  </si>
  <si>
    <t>Empire city Linden ressidence Mai Chí Thọ Thủ Thiêm</t>
  </si>
  <si>
    <t>HD034174</t>
  </si>
  <si>
    <t>2312 Đ. Số 51, An Hội Tây</t>
  </si>
  <si>
    <t>Thanh Thảo</t>
  </si>
  <si>
    <t>HD034014</t>
  </si>
  <si>
    <t>47/3 lê trực, phường gia định</t>
  </si>
  <si>
    <t>Thu Ba DS</t>
  </si>
  <si>
    <t>HD034166</t>
  </si>
  <si>
    <t>395 Bùi Đình Tuý, p14</t>
  </si>
  <si>
    <t>HD034433</t>
  </si>
  <si>
    <t>220/62 Xô viết nghệ tĩnh, phường thành mỹ Tây</t>
  </si>
  <si>
    <t>ng nhận: mama Hạnh - Anna Kim</t>
  </si>
  <si>
    <t>HD034397</t>
  </si>
  <si>
    <t>503-C4, chung cư an sương, phường tân hưng thuận</t>
  </si>
  <si>
    <t>Huyền Trâm</t>
  </si>
  <si>
    <t>HD034178</t>
  </si>
  <si>
    <t>237/33/32N phạm văn chiêu f14</t>
  </si>
  <si>
    <t>HD034046</t>
  </si>
  <si>
    <t>nhaThe Sun Avenue (tòa 55) 28 Mai Chí Thọ, An Phú</t>
  </si>
  <si>
    <t>Thuy Nguyen</t>
  </si>
  <si>
    <t>HD034354</t>
  </si>
  <si>
    <t>sảnh cư dân toà Landmark 81</t>
  </si>
  <si>
    <t>GỬI KIMMI BÙI</t>
  </si>
  <si>
    <t>HD034168</t>
  </si>
  <si>
    <t>Sao Mai express số 35 Tân Canh, p1</t>
  </si>
  <si>
    <t>HD034143</t>
  </si>
  <si>
    <t>Chung cư kingdom block c 334 tô hiến thành phường diên hồng</t>
  </si>
  <si>
    <t>c duyên - fb Hà Túi</t>
  </si>
  <si>
    <t>HD034200</t>
  </si>
  <si>
    <t>15a duong nguyễn hữu thọ Toa t1</t>
  </si>
  <si>
    <t>HD034138</t>
  </si>
  <si>
    <t>kim Nhung</t>
  </si>
  <si>
    <t>HD034196</t>
  </si>
  <si>
    <t>số 229A Đường bùi thị xuân phường 1</t>
  </si>
  <si>
    <t>Myle Pham</t>
  </si>
  <si>
    <t>HD034317</t>
  </si>
  <si>
    <t>88/29 đường 17, phường Tân thuận Tây</t>
  </si>
  <si>
    <t>Trâm (Phòng A201)</t>
  </si>
  <si>
    <t>HD034276</t>
  </si>
  <si>
    <t>441/22 Lê Văn Lương P Tân Hưng</t>
  </si>
  <si>
    <t>Nguyet Truong</t>
  </si>
  <si>
    <t>HD034371</t>
  </si>
  <si>
    <t>Tòa nhà Citilight, 45 Võ Thị Sáu, phường Tân Định</t>
  </si>
  <si>
    <t>Tường Vy</t>
  </si>
  <si>
    <t>HD034396</t>
  </si>
  <si>
    <t>61/14 an bình p6</t>
  </si>
  <si>
    <t>Phạm Mỹ Duyên</t>
  </si>
  <si>
    <t>HD034243</t>
  </si>
  <si>
    <t>290 An dương vương</t>
  </si>
  <si>
    <t>Luna op</t>
  </si>
  <si>
    <t>HD034300</t>
  </si>
  <si>
    <t>số 281/36 lê văn sỹ phường 1</t>
  </si>
  <si>
    <t>TOM AG</t>
  </si>
  <si>
    <t>12 HỒ VĂN HUÊ, PHƯỜNG 9</t>
  </si>
  <si>
    <t>Sapphire Tran</t>
  </si>
  <si>
    <t>HD034201</t>
  </si>
  <si>
    <t>The standard bình dương-p.tân khánh-kp khánh hội</t>
  </si>
  <si>
    <t>at 08-07</t>
  </si>
  <si>
    <t>Yến Như</t>
  </si>
  <si>
    <t>HD034682</t>
  </si>
  <si>
    <t>213 Bưng Ông Thoàn, Tăng Nhơn Phú B</t>
  </si>
  <si>
    <t>09-07-2026</t>
  </si>
  <si>
    <t>Bao Tram</t>
  </si>
  <si>
    <t>HD034790</t>
  </si>
  <si>
    <t>Toà BE3, khu beverly vinhomes grand park</t>
  </si>
  <si>
    <t>Hàn Hồng Hạnh</t>
  </si>
  <si>
    <t>HD034606</t>
  </si>
  <si>
    <t>Số 180, Đường D2 khu Khang Điền Classia, đường Võ Chí Công, phường Long Trường</t>
  </si>
  <si>
    <t>Linh Ngô</t>
  </si>
  <si>
    <t>HD034779</t>
  </si>
  <si>
    <t>90 a lê lăng Phú thọ hoà</t>
  </si>
  <si>
    <t>AT 09-07</t>
  </si>
  <si>
    <t>Tố Muội Muội</t>
  </si>
  <si>
    <t>HD034401</t>
  </si>
  <si>
    <t>29 đường số 2,kp5,bình hưng hoà B</t>
  </si>
  <si>
    <t>Hạnh</t>
  </si>
  <si>
    <t>HD034169</t>
  </si>
  <si>
    <t>1980/1D tổ 1 khu phố 1, phường an phú đông</t>
  </si>
  <si>
    <t>Heng Roza (EV38382)</t>
  </si>
  <si>
    <t>HD034525</t>
  </si>
  <si>
    <t>315/18/6 Nhuyễn Thị Tú, Phường Bình Hưng Hòa B</t>
  </si>
  <si>
    <t>Ái Ny</t>
  </si>
  <si>
    <t>HD034797</t>
  </si>
  <si>
    <t>34/24đường lê trọng tấn, phường Tây Thạnh</t>
  </si>
  <si>
    <t>Tình Thị Tình</t>
  </si>
  <si>
    <t>HD034813</t>
  </si>
  <si>
    <t>19 Thái thị nhạn p 10</t>
  </si>
  <si>
    <t>Chị Phương</t>
  </si>
  <si>
    <t>HD034620</t>
  </si>
  <si>
    <t>984/62 hà huy giáp</t>
  </si>
  <si>
    <t>Hạnh Trần</t>
  </si>
  <si>
    <t>HD034468</t>
  </si>
  <si>
    <t>Chung cư Tecco, block C, đường Nguyễn Cửu Phú, phường Tân Tạo</t>
  </si>
  <si>
    <t>Phạm Yến</t>
  </si>
  <si>
    <t>HD034438</t>
  </si>
  <si>
    <t>64b đường số 32 bình tị đông b</t>
  </si>
  <si>
    <t>MC NitaSmile</t>
  </si>
  <si>
    <t>HD034830</t>
  </si>
  <si>
    <t>(MV01709) phường Bình Hưng Hòa</t>
  </si>
  <si>
    <t>Nguyễn Thị Trà My</t>
  </si>
  <si>
    <t>HD034406</t>
  </si>
  <si>
    <t>325/9 bùi minh trực phường 6 (phường bình đông)</t>
  </si>
  <si>
    <t>carol nguyễn</t>
  </si>
  <si>
    <t>HD033799</t>
  </si>
  <si>
    <t>32 ly thường kiệt</t>
  </si>
  <si>
    <t>Vy Vy</t>
  </si>
  <si>
    <t>HD034788</t>
  </si>
  <si>
    <t>110/62/11a tô hiệu</t>
  </si>
  <si>
    <t>Trần Mỹ Duy</t>
  </si>
  <si>
    <t>HD034507</t>
  </si>
  <si>
    <t>252 phan anh, phường Hiệp Tân</t>
  </si>
  <si>
    <t>66 đường 17 p10</t>
  </si>
  <si>
    <t>Pham Nguyen</t>
  </si>
  <si>
    <t>HD034618</t>
  </si>
  <si>
    <t>202 Nguyễn Duy Trinh, phường Bình trưng</t>
  </si>
  <si>
    <t>Yen Bobbi</t>
  </si>
  <si>
    <t>HD034547</t>
  </si>
  <si>
    <t>54 trung lang, phường bảy hiền</t>
  </si>
  <si>
    <t>Nguyễn Thị Thanh Hiền</t>
  </si>
  <si>
    <t>HD034568</t>
  </si>
  <si>
    <t>Landmark 3,vinhomes</t>
  </si>
  <si>
    <t>Tuệ Trinh ( casey )</t>
  </si>
  <si>
    <t>HD034626</t>
  </si>
  <si>
    <t>31-33 Phan Huy Ích, P15</t>
  </si>
  <si>
    <t>Khánh Vy Đỗ</t>
  </si>
  <si>
    <t>HD034534</t>
  </si>
  <si>
    <t>134d gò dưa tam bình</t>
  </si>
  <si>
    <t>Nhận hộ fb Nguyễn Hà</t>
  </si>
  <si>
    <t>HD034550</t>
  </si>
  <si>
    <t>433/11/2 Lê Đức Thọ, Phường 17</t>
  </si>
  <si>
    <t>Như Quỳnh</t>
  </si>
  <si>
    <t>HD034584</t>
  </si>
  <si>
    <t>28 Mai Chí Thọ, Mộc Nhiên spa sav3 00.10 the sun avenue, phường Bình Trưng</t>
  </si>
  <si>
    <t>Ngoc Trang Tran</t>
  </si>
  <si>
    <t>HD034792</t>
  </si>
  <si>
    <t>346/20/5, Chu Văn An, Phường Bình Thạnh</t>
  </si>
  <si>
    <t>Ngo Thuy Linh</t>
  </si>
  <si>
    <t>HD034535</t>
  </si>
  <si>
    <t>37 nguyễn văn hưởng thảo điền</t>
  </si>
  <si>
    <t>Lê Hồng Ngọc</t>
  </si>
  <si>
    <t>HD033617</t>
  </si>
  <si>
    <t>Chung cư khang gia</t>
  </si>
  <si>
    <t>Hằng Nhi</t>
  </si>
  <si>
    <t>HD034288</t>
  </si>
  <si>
    <t>Đường số 104 Brilliant Tower 3 1206 Chung Cư Đảo Kim Cương - Khu đô thị Đảo Kim Cương, P.Bình Trưng Tây</t>
  </si>
  <si>
    <t>thảo - fb Hang Bui</t>
  </si>
  <si>
    <t>HD034815</t>
  </si>
  <si>
    <t>36/42/2 đường số 4, kp6, hiệp bình phước</t>
  </si>
  <si>
    <t>HD034722</t>
  </si>
  <si>
    <t>HD034593</t>
  </si>
  <si>
    <t>TRINH QL</t>
  </si>
  <si>
    <t>39C TÂN THỚI NHẤT 1B, Phường Tân Thới Nhất</t>
  </si>
  <si>
    <t>HIẾU (fb Huyen Nguyen)</t>
  </si>
  <si>
    <t>HD034583</t>
  </si>
  <si>
    <t>623/43 CMT8 p15</t>
  </si>
  <si>
    <t>Thảo Trần</t>
  </si>
  <si>
    <t>HD034799</t>
  </si>
  <si>
    <t>32 lê quý đôn, phường Xuân Hòa</t>
  </si>
  <si>
    <t>Linh</t>
  </si>
  <si>
    <t>HD034672</t>
  </si>
  <si>
    <t>64 Nam Kỳ Khởi Nghĩa</t>
  </si>
  <si>
    <t>Diễm My</t>
  </si>
  <si>
    <t>HD034408</t>
  </si>
  <si>
    <t>82 lý phục man, phường bình thuận (giao cho phòng 714)</t>
  </si>
  <si>
    <t>Trần Huệ</t>
  </si>
  <si>
    <t>HD034575</t>
  </si>
  <si>
    <t>391 ngô gia tự p2</t>
  </si>
  <si>
    <t>HD034585</t>
  </si>
  <si>
    <t>Nguyễn Quỳnh Như</t>
  </si>
  <si>
    <t>HD034566</t>
  </si>
  <si>
    <t>61 Trương Định, phường Võ Thị Sáu</t>
  </si>
  <si>
    <t>Cô Như ft Vy G Hoac</t>
  </si>
  <si>
    <t>HD034403</t>
  </si>
  <si>
    <t>217 Nguyễn thượng hiền p bình lợi trung</t>
  </si>
  <si>
    <t>Ngân Kim Lê</t>
  </si>
  <si>
    <t>HD034702</t>
  </si>
  <si>
    <t>90 trần đình xu, phường Cầu Ông Lãnh</t>
  </si>
  <si>
    <t>Trần Phương</t>
  </si>
  <si>
    <t>HD034445</t>
  </si>
  <si>
    <t>tòa Saigon Royal AP2 địa chỉ 9 Nguyễn trường tộ, Phường Xóm Chiếu</t>
  </si>
  <si>
    <t>Ng nhận Hà - fb Lien Phuong Bui</t>
  </si>
  <si>
    <t>HD026635</t>
  </si>
  <si>
    <t>JJ 14 Bạch Mã, p15, cư xá bắc hải</t>
  </si>
  <si>
    <t>Mone Ng</t>
  </si>
  <si>
    <t>HD034706</t>
  </si>
  <si>
    <t>Sky Garden 2 p tân phong PMH</t>
  </si>
  <si>
    <t>ViNhi Sara</t>
  </si>
  <si>
    <t>HD034814</t>
  </si>
  <si>
    <t>702/45/28b điện biên phủ phường 10</t>
  </si>
  <si>
    <t>Emily fb Trần Nguyễn Ngọc Bích</t>
  </si>
  <si>
    <t>HD034589</t>
  </si>
  <si>
    <t>36/15 yên thế p2</t>
  </si>
  <si>
    <t>Ngọc Trân</t>
  </si>
  <si>
    <t>HD034771</t>
  </si>
  <si>
    <t>76 Trần Đình Xu</t>
  </si>
  <si>
    <t>SU ANH</t>
  </si>
  <si>
    <t>Daravin</t>
  </si>
  <si>
    <t>301 Phạm Ngũ Lão, Phường Phạm Ngũ Lão</t>
  </si>
  <si>
    <t>Thu  Nhàng</t>
  </si>
  <si>
    <t>HD034591</t>
  </si>
  <si>
    <t>Số 2 lê duẫn, phường phú mỹ</t>
  </si>
  <si>
    <t>at 09-07</t>
  </si>
  <si>
    <t>Kelly Nguyen</t>
  </si>
  <si>
    <t>HD034880</t>
  </si>
  <si>
    <t>số 37 đường 1F melosa khang điền, phường phú hữu</t>
  </si>
  <si>
    <t>10-07-2026</t>
  </si>
  <si>
    <t>Hoài Phúc</t>
  </si>
  <si>
    <t>HD035062</t>
  </si>
  <si>
    <t>52, đường 24, P. Long Bình</t>
  </si>
  <si>
    <t>Minh Thư</t>
  </si>
  <si>
    <t>HD034993</t>
  </si>
  <si>
    <t>6/24 tân chánh hiệp 36, p trung mỹ tây</t>
  </si>
  <si>
    <t>AT 10-07</t>
  </si>
  <si>
    <t>fb Lê Hoàng Kim Nguyên</t>
  </si>
  <si>
    <t>HD035028</t>
  </si>
  <si>
    <t>1/17 Tân Thành, phường Tân Phú</t>
  </si>
  <si>
    <t>Phương Thảo TA</t>
  </si>
  <si>
    <t>HD035030</t>
  </si>
  <si>
    <t>Trinh Lie</t>
  </si>
  <si>
    <t>HD035047</t>
  </si>
  <si>
    <t>7a82 ap 7 an ha</t>
  </si>
  <si>
    <t>MIE</t>
  </si>
  <si>
    <t>275/14B Đặng Nguyễn Cẩn, Phường Phú Lâm</t>
  </si>
  <si>
    <t>Ngân Châu</t>
  </si>
  <si>
    <t>HD034881</t>
  </si>
  <si>
    <t>207c Nguyễn xí p26</t>
  </si>
  <si>
    <t>An Kim Tu</t>
  </si>
  <si>
    <t>HD035036</t>
  </si>
  <si>
    <t>157/26 ng gia trí, phường 25</t>
  </si>
  <si>
    <t>HD035045</t>
  </si>
  <si>
    <t>Chị Bình (Hà Giang)</t>
  </si>
  <si>
    <t>HD034928</t>
  </si>
  <si>
    <t>799/22a nguyễn kiệm,p. Hạnh Thông</t>
  </si>
  <si>
    <t>Nguyễn Hoàng Phương Oanh</t>
  </si>
  <si>
    <t>HD034839</t>
  </si>
  <si>
    <t>377/20 Lê quang định, P bình lợi trung</t>
  </si>
  <si>
    <t>Ling fei -Saa</t>
  </si>
  <si>
    <t>HD035064</t>
  </si>
  <si>
    <t>Cozrum Homes - Autumn House 270/26 Đống Đa, Gia Định</t>
  </si>
  <si>
    <t>Ka Nguyễn</t>
  </si>
  <si>
    <t>HD035025</t>
  </si>
  <si>
    <t>219 đường số 28 p6</t>
  </si>
  <si>
    <t>Mr Thế</t>
  </si>
  <si>
    <t>27/5 Quách Văn Tuấn, F12</t>
  </si>
  <si>
    <t>403 tân sơn p12</t>
  </si>
  <si>
    <t>Tâm</t>
  </si>
  <si>
    <t>HD034717</t>
  </si>
  <si>
    <t>33 nguyễn hữu thọ, sunrise cityview sảnh A căn hộ, phường Tân Hưng</t>
  </si>
  <si>
    <t>Thúy Hạnh</t>
  </si>
  <si>
    <t>HD034875</t>
  </si>
  <si>
    <t>1059/3 Nguyễn Trãi p. chợ Lớn</t>
  </si>
  <si>
    <t>Lilly Tran</t>
  </si>
  <si>
    <t>HD034879</t>
  </si>
  <si>
    <t>481 phan văn trị, P. an đông (p7 cũ)</t>
  </si>
  <si>
    <t>HD034935</t>
  </si>
  <si>
    <t>Tina Trần</t>
  </si>
  <si>
    <t>HD034917</t>
  </si>
  <si>
    <t>156 LÊ LAI, PHƯỜNG BẾN THÀNH</t>
  </si>
  <si>
    <t>Mai Trần</t>
  </si>
  <si>
    <t>135 hải thượng lãn Ông P10</t>
  </si>
  <si>
    <t>at 10-07</t>
  </si>
  <si>
    <t>Thanh Ngọc</t>
  </si>
  <si>
    <t>HD035130</t>
  </si>
  <si>
    <t>10A đường 44 Hồ Bá Phấn Phước Long A</t>
  </si>
  <si>
    <t>AT 11-07</t>
  </si>
  <si>
    <t>11-07-2026</t>
  </si>
  <si>
    <t>kh ck shop 30k</t>
  </si>
  <si>
    <t>HD035154</t>
  </si>
  <si>
    <t>34/24 đường lê trọng tấn, phường Tây Thạnh</t>
  </si>
  <si>
    <t>Hương Thị</t>
  </si>
  <si>
    <t>HD035250</t>
  </si>
  <si>
    <t>368/2 tân sơn nhì</t>
  </si>
  <si>
    <t>Vân</t>
  </si>
  <si>
    <t>HD035119</t>
  </si>
  <si>
    <t>T16-33 manhattan Vinhomes Grand Park</t>
  </si>
  <si>
    <t>VTS-34309SAK</t>
  </si>
  <si>
    <t>HD035127</t>
  </si>
  <si>
    <t>601 QL1A, An Lạc</t>
  </si>
  <si>
    <t>BOS BMB</t>
  </si>
  <si>
    <t>119 hoàng diệu 2 linh trung</t>
  </si>
  <si>
    <t>BN8823</t>
  </si>
  <si>
    <t>HD035160</t>
  </si>
  <si>
    <t>HD035150</t>
  </si>
  <si>
    <t>170C quang trung, p.10</t>
  </si>
  <si>
    <t>HD035209</t>
  </si>
  <si>
    <t>Tai My</t>
  </si>
  <si>
    <t>HD035092</t>
  </si>
  <si>
    <t>38 đường số 2, P.Thông Tây Hội</t>
  </si>
  <si>
    <t>kim anh</t>
  </si>
  <si>
    <t>HD034767</t>
  </si>
  <si>
    <t>208 nguyễn hữu cảnh phường 22 park 6b</t>
  </si>
  <si>
    <t>Huỳnh Phương Mỹ Duyên</t>
  </si>
  <si>
    <t>HD035159</t>
  </si>
  <si>
    <t>21 bis đường số 10, phường bình an</t>
  </si>
  <si>
    <t>Nguyễn Nhi</t>
  </si>
  <si>
    <t>HD030490</t>
  </si>
  <si>
    <t>653/36 Quang Trung, P11</t>
  </si>
  <si>
    <t>HD034579</t>
  </si>
  <si>
    <t>198D/1D tổ 1 khu phố 1, phường an phú đông</t>
  </si>
  <si>
    <t>duy di (nhận hồ trang phạm)</t>
  </si>
  <si>
    <t>HD035180</t>
  </si>
  <si>
    <t>331/68 vườn lài, phường an phú đông</t>
  </si>
  <si>
    <t>Vy c Tài</t>
  </si>
  <si>
    <t>48 trần quang diệu, p. nhiêu lộc</t>
  </si>
  <si>
    <t>VVI EVA</t>
  </si>
  <si>
    <t>141 hùng vương, phường 4</t>
  </si>
  <si>
    <t>HD035251</t>
  </si>
  <si>
    <t>HD035085</t>
  </si>
  <si>
    <t>HD035271</t>
  </si>
  <si>
    <t>kh ck shop 805k</t>
  </si>
  <si>
    <t>HD035139</t>
  </si>
  <si>
    <t>Chị Anh</t>
  </si>
  <si>
    <t>HD035098</t>
  </si>
  <si>
    <t>8 nguyễn văn vĩnh p4</t>
  </si>
  <si>
    <t>HD035125</t>
  </si>
  <si>
    <t>66/68, Phổ Quang, Phường 2</t>
  </si>
  <si>
    <t>HD035208</t>
  </si>
  <si>
    <t>at 11-07</t>
  </si>
  <si>
    <t>2 đơn</t>
  </si>
  <si>
    <t>Nguyễn kiều gấm</t>
  </si>
  <si>
    <t>HD035319</t>
  </si>
  <si>
    <t>24/5F, Ấp Đông Lân, Xã Bà Điểm</t>
  </si>
  <si>
    <t>AT 13-07</t>
  </si>
  <si>
    <t>13-07-2026</t>
  </si>
  <si>
    <t>HD035659</t>
  </si>
  <si>
    <t>Trịnh Kim Trang</t>
  </si>
  <si>
    <t>HD035609</t>
  </si>
  <si>
    <t>985/36/1A âu cơ p.tsn</t>
  </si>
  <si>
    <t>Ngọc Trần</t>
  </si>
  <si>
    <t>HD035666</t>
  </si>
  <si>
    <t>Huỳnh Quế Trinh</t>
  </si>
  <si>
    <t>HD035608</t>
  </si>
  <si>
    <t>166 đường số 1, khu phố 25, phường Bình Hưng Hòa</t>
  </si>
  <si>
    <t>Kim Cương</t>
  </si>
  <si>
    <t>HD035485</t>
  </si>
  <si>
    <t>754/72/17 Tân Kì Tân Quý, Bình Hưng Hòa</t>
  </si>
  <si>
    <t>HD035610</t>
  </si>
  <si>
    <t>JESS-9244</t>
  </si>
  <si>
    <t>chị Thơ</t>
  </si>
  <si>
    <t>HD035574</t>
  </si>
  <si>
    <t>171/68 Nguyễn tư giản p an hội tây</t>
  </si>
  <si>
    <t>Salim fb Boong Boong</t>
  </si>
  <si>
    <t>HD035348</t>
  </si>
  <si>
    <t>27 đường số 3, Garden Homes, P. Hiệp Bình Phước</t>
  </si>
  <si>
    <t>HD035448</t>
  </si>
  <si>
    <t>Nguyen Anh Thư</t>
  </si>
  <si>
    <t>HD035343</t>
  </si>
  <si>
    <t>453/16 đường Tô Ngọc Vân, p Tam Bình</t>
  </si>
  <si>
    <t>Minh Thư (hani hani)</t>
  </si>
  <si>
    <t>HD035621</t>
  </si>
  <si>
    <t>22,TÂN THỚI NHẤT 1B, Phường Tân Thới Nhất</t>
  </si>
  <si>
    <t>c Ngọc (website)</t>
  </si>
  <si>
    <t>HD035470</t>
  </si>
  <si>
    <t>Cảng vụ hàng không Miền Nam, Sân bay Tân Sơn Nhất, Phường Tân Sơn Hòa</t>
  </si>
  <si>
    <t>Như Ngọc</t>
  </si>
  <si>
    <t>HD035657</t>
  </si>
  <si>
    <t>109 đồng đen phường 12</t>
  </si>
  <si>
    <t>cao cường - fb Huyền Đan</t>
  </si>
  <si>
    <t>HD035641</t>
  </si>
  <si>
    <t>128/13 lê đức thọ, phường 6</t>
  </si>
  <si>
    <t>Nhung Lê</t>
  </si>
  <si>
    <t>HD035344</t>
  </si>
  <si>
    <t>106 Đường Đỗ Mười, Khu phố 8, phường Hiệp Bình</t>
  </si>
  <si>
    <t>72/5 Giải Phóng, Tân Sơn</t>
  </si>
  <si>
    <t>Pachara (BN6994)</t>
  </si>
  <si>
    <t>Nguyễn Thư</t>
  </si>
  <si>
    <t>HD035432</t>
  </si>
  <si>
    <t>39 hồ hảo hơn, P. cô giang</t>
  </si>
  <si>
    <t>HD035313</t>
  </si>
  <si>
    <t>SENDONA SUITES - 67 Lê Lợi, Sài Gòn</t>
  </si>
  <si>
    <t>Trúc</t>
  </si>
  <si>
    <t>HD035550</t>
  </si>
  <si>
    <t>666/64/22 đường 3/2 phường Diên Hồng (phường 14 cũ)</t>
  </si>
  <si>
    <t>Dii Da</t>
  </si>
  <si>
    <t>HD035366</t>
  </si>
  <si>
    <t>263 hung vurong p9</t>
  </si>
  <si>
    <t>Pon Nga</t>
  </si>
  <si>
    <t>HD035263</t>
  </si>
  <si>
    <t>307 phan đình phùng, phường cầu kiệu</t>
  </si>
  <si>
    <t>Như</t>
  </si>
  <si>
    <t>HD035349</t>
  </si>
  <si>
    <t>237 phan đình phùng cầu kiệu</t>
  </si>
  <si>
    <t>Trâm - Suna Phnôm pênh</t>
  </si>
  <si>
    <t>HD035370</t>
  </si>
  <si>
    <t>Kho nhận hàng long Phượng,khu C30 lô B5, đường thành thái, P. 14, đối diện bệnh viên bưu điện</t>
  </si>
  <si>
    <t>HD035434</t>
  </si>
  <si>
    <t>Số 17 đường số hai cư xá đô thành p4</t>
  </si>
  <si>
    <t>Nguyễn Ngọc Thanh Thúy</t>
  </si>
  <si>
    <t>HD035484</t>
  </si>
  <si>
    <t>675/33A trần xuân soạn p tân hưng</t>
  </si>
  <si>
    <t>kim ngân</t>
  </si>
  <si>
    <t>HD035648</t>
  </si>
  <si>
    <t>C15 cao thị chính, phường phú nhuận</t>
  </si>
  <si>
    <t>Võ Khánh Vy (Website)</t>
  </si>
  <si>
    <t>HD035663</t>
  </si>
  <si>
    <t>178/4/8H Phan Đăng Lưu, phường Đức Nhuận</t>
  </si>
  <si>
    <t>Hoài Nguyên</t>
  </si>
  <si>
    <t>HD035516</t>
  </si>
  <si>
    <t>261/2 trần hưng đạo, p cau ông lanh</t>
  </si>
  <si>
    <t>Hải Dương</t>
  </si>
  <si>
    <t>HD035515</t>
  </si>
  <si>
    <t>Số 43 đường số 6 khu cc Trung Sơn</t>
  </si>
  <si>
    <t>at 13-07</t>
  </si>
  <si>
    <t>ADAM / KHA (Elisabeth)</t>
  </si>
  <si>
    <t>HD035881</t>
  </si>
  <si>
    <t>Chung cư Conic RiverSide, Khu phố 6, phường 7</t>
  </si>
  <si>
    <t>AT 14-07</t>
  </si>
  <si>
    <t>14-07-2026</t>
  </si>
  <si>
    <t>HD035676</t>
  </si>
  <si>
    <t>chị nhung</t>
  </si>
  <si>
    <t>HD035726</t>
  </si>
  <si>
    <t>33/40 gò dầu</t>
  </si>
  <si>
    <t>Quyên Trần - fb Trang Nguyen</t>
  </si>
  <si>
    <t>HD035884</t>
  </si>
  <si>
    <t>184 trần văn kiểu p10</t>
  </si>
  <si>
    <t>Xuyến Huỳnh</t>
  </si>
  <si>
    <t>HD035727</t>
  </si>
  <si>
    <t>Lk7-05 valora Bình hưng</t>
  </si>
  <si>
    <t>Kim Nguyên</t>
  </si>
  <si>
    <t>HD035885</t>
  </si>
  <si>
    <t>1/17 Tân Thành phường Tân Phú</t>
  </si>
  <si>
    <t>Khả Thư</t>
  </si>
  <si>
    <t>HD035714</t>
  </si>
  <si>
    <t>Bs16 vinhomes grand park</t>
  </si>
  <si>
    <t>Sang Sang</t>
  </si>
  <si>
    <t>HD035875</t>
  </si>
  <si>
    <t>99 đường 100, phường tân phú</t>
  </si>
  <si>
    <t>HD035745</t>
  </si>
  <si>
    <t>532/3/6 kinh dương vương, phường an lạc</t>
  </si>
  <si>
    <t>Kim Tuyến Nguyễn</t>
  </si>
  <si>
    <t>HD035861</t>
  </si>
  <si>
    <t>6/29 duong số 44 phuong an hoi tay</t>
  </si>
  <si>
    <t>Duyên Lê</t>
  </si>
  <si>
    <t>HD035771</t>
  </si>
  <si>
    <t>120/16/27 đường số 4, phường an hội đông</t>
  </si>
  <si>
    <t>HD035832</t>
  </si>
  <si>
    <t>Tuyền Lê</t>
  </si>
  <si>
    <t>HD035806</t>
  </si>
  <si>
    <t>124/31 an nhơn</t>
  </si>
  <si>
    <t>Ivy Anh Vy</t>
  </si>
  <si>
    <t>HD035857</t>
  </si>
  <si>
    <t>So 7, Duong 11, Phường An Khanh</t>
  </si>
  <si>
    <t>vân fb Ivy Thuy Pham</t>
  </si>
  <si>
    <t>HD035877</t>
  </si>
  <si>
    <t>chung cư thái an 4 đường nguyễn văn quá phường đông hưng thuận</t>
  </si>
  <si>
    <t>Hoàng Thanh Yến Ngọc</t>
  </si>
  <si>
    <t>HD035869</t>
  </si>
  <si>
    <t>61-63 đinh bộ lĩnh</t>
  </si>
  <si>
    <t>Ivy Huyền</t>
  </si>
  <si>
    <t>Số 5 Nhất Chi Mai phường 13</t>
  </si>
  <si>
    <t>Vũ Nguyễn (phương tw)</t>
  </si>
  <si>
    <t>74/3 Trần Thái Tông, phường 15</t>
  </si>
  <si>
    <t>Như Quỳnhh</t>
  </si>
  <si>
    <t>HD035712</t>
  </si>
  <si>
    <t>48 đường số 5 khu dân cư himlam phường tân hưng</t>
  </si>
  <si>
    <t>Yến Yến</t>
  </si>
  <si>
    <t>HD035876</t>
  </si>
  <si>
    <t>43 Nguyễn Đình Chiểu P4</t>
  </si>
  <si>
    <t>Nguyễn Thị Dung</t>
  </si>
  <si>
    <t>HD035692</t>
  </si>
  <si>
    <t>Ký Túc Xá Trung Tâm Huấn Luyện Bay, Số 117, Đường Hồng Hà, Phường 2</t>
  </si>
  <si>
    <t>HD035746</t>
  </si>
  <si>
    <t>Veriska DEBORA Room 102 Saigon Europe Hotel</t>
  </si>
  <si>
    <t>HD035831</t>
  </si>
  <si>
    <t>207 Đề Thám, Phường Phạm Ngũ Lão</t>
  </si>
  <si>
    <t>Trần thị ngọc nhản</t>
  </si>
  <si>
    <t>Xe cổ phần vận tải sài gòn vị thanh hậu giang</t>
  </si>
  <si>
    <t>at 14-07</t>
  </si>
  <si>
    <t>Danh Híi</t>
  </si>
  <si>
    <t>HD036142</t>
  </si>
  <si>
    <t>33 đường D32 - Phước Long B</t>
  </si>
  <si>
    <t>AT 15-07</t>
  </si>
  <si>
    <t>15-07-2026</t>
  </si>
  <si>
    <t>FB HUỲNH NGỌC HÂN</t>
  </si>
  <si>
    <t>HD036103</t>
  </si>
  <si>
    <t>Số 78 Đường Số 7, P. Bình Hưng Hòa</t>
  </si>
  <si>
    <t>Hồng Nguyễn</t>
  </si>
  <si>
    <t>HD036095</t>
  </si>
  <si>
    <t>621 Tân kỳ Tân quý phường bình hưng hòa</t>
  </si>
  <si>
    <t>Minh Hai</t>
  </si>
  <si>
    <t>17 Street No. 13, Binh Hung Hoa Ward</t>
  </si>
  <si>
    <t>Nguyễn Nữ Uyên Uyên</t>
  </si>
  <si>
    <t>HD036088</t>
  </si>
  <si>
    <t>Ara gem hotel- 100 QL13</t>
  </si>
  <si>
    <t>(Toukky Trúc)</t>
  </si>
  <si>
    <t>HD036141</t>
  </si>
  <si>
    <t>688/26 Lê Đức Thọ, phường 15</t>
  </si>
  <si>
    <t>HD036115</t>
  </si>
  <si>
    <t>Vy Nhật Hà</t>
  </si>
  <si>
    <t>HD036040</t>
  </si>
  <si>
    <t>Landmark 1 vinhome central park p thạch mỹ tây</t>
  </si>
  <si>
    <t>NT HẢI YẾN</t>
  </si>
  <si>
    <t>132 khu dân cư Tân tiến, Tân Thới Hiệp</t>
  </si>
  <si>
    <t>Cici</t>
  </si>
  <si>
    <t>HD036018</t>
  </si>
  <si>
    <t>160C bùi thị Xuân</t>
  </si>
  <si>
    <t>Anna Nguyen</t>
  </si>
  <si>
    <t>HD036072</t>
  </si>
  <si>
    <t>12a Nguyễn hữu thọ Phước kiểng Cc the park resident toa b5</t>
  </si>
  <si>
    <t>Kim Dung</t>
  </si>
  <si>
    <t>HD035883</t>
  </si>
  <si>
    <t>Hado Centrosa đường 3/2 phường hòa Hưng (F12 cũ) Toà orchid 2</t>
  </si>
  <si>
    <t>HD036145</t>
  </si>
  <si>
    <t>HD036068</t>
  </si>
  <si>
    <t>Thanh Thanh</t>
  </si>
  <si>
    <t>HD035935</t>
  </si>
  <si>
    <t>259 Lê văn lương phường Tân Quy</t>
  </si>
  <si>
    <t>Lan Khuê (zalo)</t>
  </si>
  <si>
    <t>HD035847</t>
  </si>
  <si>
    <t>1036/133/9 cách mạng tháng 8 p4, phường tân sơn nhất</t>
  </si>
  <si>
    <t>Ngân Bùi</t>
  </si>
  <si>
    <t>HD035573</t>
  </si>
  <si>
    <t>chung cư Sài Gòn mia 9a bình hưng</t>
  </si>
  <si>
    <t>Kim hằng</t>
  </si>
  <si>
    <t>HD035938</t>
  </si>
  <si>
    <t>72 trương định, bến thành</t>
  </si>
  <si>
    <t>HD036069</t>
  </si>
  <si>
    <t>VI VI</t>
  </si>
  <si>
    <t>HD036026</t>
  </si>
  <si>
    <t>115/22/9 Nguyễn Du F.Bến Thành</t>
  </si>
  <si>
    <t>Hương Giang</t>
  </si>
  <si>
    <t>HD036153</t>
  </si>
  <si>
    <t>11 thép mới</t>
  </si>
  <si>
    <t>at 15-07</t>
  </si>
  <si>
    <t>Lê Kim Khoẻ</t>
  </si>
  <si>
    <t>HD036237</t>
  </si>
  <si>
    <t>block C, Chung cư Conic Đông Nam Á, đường số 2, Xã Bình Hưng (Xã Phong Phú cũ)</t>
  </si>
  <si>
    <t>AT 16-07</t>
  </si>
  <si>
    <t>16-07-2026</t>
  </si>
  <si>
    <t>Vy Mít</t>
  </si>
  <si>
    <t>HD036404</t>
  </si>
  <si>
    <t>531 An Dương Vương, P.An Lạc</t>
  </si>
  <si>
    <t>SS3164 - Mr.skill ) 5S Cargo Shipping</t>
  </si>
  <si>
    <t>HD036339</t>
  </si>
  <si>
    <t>Thùy Võ</t>
  </si>
  <si>
    <t>HD036305</t>
  </si>
  <si>
    <t>49 Lê Văn Việt, Tăng Nhơn Phú</t>
  </si>
  <si>
    <t>Chúc Hoàng</t>
  </si>
  <si>
    <t>HD036448</t>
  </si>
  <si>
    <t xml:space="preserve">Số 8 đường DHT 13, phường Đông Hưng Thuận </t>
  </si>
  <si>
    <t>Hiếu Phan</t>
  </si>
  <si>
    <t>HD036454</t>
  </si>
  <si>
    <t>BS10A vinhomes grand park phường long bình</t>
  </si>
  <si>
    <t>HUỲNH TỐ UYÊN</t>
  </si>
  <si>
    <t>HD036392</t>
  </si>
  <si>
    <t>85/6 Bình tây - Phường 1</t>
  </si>
  <si>
    <t>Lê Chinh</t>
  </si>
  <si>
    <t>HD036266</t>
  </si>
  <si>
    <t>251 dương quãng hàm p6</t>
  </si>
  <si>
    <t>Labelle</t>
  </si>
  <si>
    <t>HD036457</t>
  </si>
  <si>
    <t>624 Lê thị riêng, thới an</t>
  </si>
  <si>
    <t>chiên (website)</t>
  </si>
  <si>
    <t>HD036285</t>
  </si>
  <si>
    <t>143/17 Phan Huy Ích P15</t>
  </si>
  <si>
    <t>khả trinh</t>
  </si>
  <si>
    <t>HD036381</t>
  </si>
  <si>
    <t>82/17/20đinh tiên hoàng p1</t>
  </si>
  <si>
    <t>Lê Nguyễn Hải Đăng</t>
  </si>
  <si>
    <t>HD036394</t>
  </si>
  <si>
    <t>17 Mai Chí Thọ, P An Khánh, chung cư Newcity toa venice 2</t>
  </si>
  <si>
    <t>Kim Chi</t>
  </si>
  <si>
    <t>HD036446</t>
  </si>
  <si>
    <t>58/66/9c thống nhất phường 10</t>
  </si>
  <si>
    <t>Ten : Minơ fb Lê Tú</t>
  </si>
  <si>
    <t>HD036447</t>
  </si>
  <si>
    <t>chung cư Sài Gòn Mia - lock A ) 200 đường số 9A- xã bình hưng</t>
  </si>
  <si>
    <t>HD036427</t>
  </si>
  <si>
    <t>307/43 vĩnh viễn p8</t>
  </si>
  <si>
    <t>HD036452</t>
  </si>
  <si>
    <t>159/36 bạch đằng p2</t>
  </si>
  <si>
    <t>Đinh Thị Băng Tâm</t>
  </si>
  <si>
    <t>HD036473</t>
  </si>
  <si>
    <t>138/7 bùi thị xuân bến thành</t>
  </si>
  <si>
    <t>Lâm Diễm</t>
  </si>
  <si>
    <t>HD036220</t>
  </si>
  <si>
    <t>Delasol (C1905)</t>
  </si>
  <si>
    <t>HD036368</t>
  </si>
  <si>
    <t>Kim Hằng</t>
  </si>
  <si>
    <t>HD036211</t>
  </si>
  <si>
    <t>PARK VIEW APARTMENT R4-10-11, Hưng Gia 1,Đ. Số 2, Tân Phong</t>
  </si>
  <si>
    <t>Tuệ Nhi</t>
  </si>
  <si>
    <t>HD036196</t>
  </si>
  <si>
    <t>92-94 nam kỳ khởi nghĩa- bến nghé</t>
  </si>
  <si>
    <t>Trần Ánh Tuyết</t>
  </si>
  <si>
    <t>HD036327</t>
  </si>
  <si>
    <t>Saigon Royal OT2, 39 bến vân đồn</t>
  </si>
  <si>
    <t>HD036316</t>
  </si>
  <si>
    <t>Châu An</t>
  </si>
  <si>
    <t>HD036320</t>
  </si>
  <si>
    <t>37 đất thánh p6</t>
  </si>
  <si>
    <t>Fonny/Ashley</t>
  </si>
  <si>
    <t>HD036155</t>
  </si>
  <si>
    <t>151 nguyeenc thái bình</t>
  </si>
  <si>
    <t>HD036465</t>
  </si>
  <si>
    <t>phuong phuong (inst bedaunee)</t>
  </si>
  <si>
    <t>HD036445</t>
  </si>
  <si>
    <t>479 trần xuân soạn, phường tân kiểng</t>
  </si>
  <si>
    <t>Thúy Quyên</t>
  </si>
  <si>
    <t>HD036194</t>
  </si>
  <si>
    <t>137/18 âu dương lân</t>
  </si>
  <si>
    <t>Kimchou Try</t>
  </si>
  <si>
    <t>HD036419</t>
  </si>
  <si>
    <t>#301 Pham Ngu Lao Street</t>
  </si>
  <si>
    <t>Ms quỳnh</t>
  </si>
  <si>
    <t>11 nguyễn trọng lội, tân sơn nhất</t>
  </si>
  <si>
    <t>at 16-07</t>
  </si>
  <si>
    <t>Moon Nguyễn</t>
  </si>
  <si>
    <t>HD036600</t>
  </si>
  <si>
    <t>16 kim ngân, khu dân cư phong phu 4, xã phong phú</t>
  </si>
  <si>
    <t>AT 17-07</t>
  </si>
  <si>
    <t>17-07-2026</t>
  </si>
  <si>
    <t>MC Boen Khemalaiy (MVO1836)</t>
  </si>
  <si>
    <t>HD036626</t>
  </si>
  <si>
    <t>315/18/6 Nguyễn Thị Tú, Bình Hưng Hòa B</t>
  </si>
  <si>
    <t>HD036724</t>
  </si>
  <si>
    <t>Chung cư Conic RiverSide, Khu phố 6, phường 7, block A Căn hộ A20.01</t>
  </si>
  <si>
    <t>Phan Nguyễn An Bình</t>
  </si>
  <si>
    <t>HD036771</t>
  </si>
  <si>
    <t>Nhà trọ My Home 2 - 319/24 Đường An Phú Đông 10, QL1A, Phường An Phú Đông</t>
  </si>
  <si>
    <t>Ngọc Trinh</t>
  </si>
  <si>
    <t>HD036751</t>
  </si>
  <si>
    <t>261 lê đại hành p phú thọ</t>
  </si>
  <si>
    <t>Nguyễn Thị Kiều Hạnh</t>
  </si>
  <si>
    <t>HD036773</t>
  </si>
  <si>
    <t>606/7/12/18 hồ ngọc lãm bình trị đông b</t>
  </si>
  <si>
    <t>DIỆU fb Bi Lee</t>
  </si>
  <si>
    <t>HD036561</t>
  </si>
  <si>
    <t>Chung cư Carrillon 5, 22/3 luỹ bán bích, tân phú Gửi bảo vệ bảo gửi phòng 17.12</t>
  </si>
  <si>
    <t>ETV Sominea Chuon (EV34968)</t>
  </si>
  <si>
    <t>HD036574</t>
  </si>
  <si>
    <t>HD036582</t>
  </si>
  <si>
    <t>HD036692</t>
  </si>
  <si>
    <t>Hung Nguyen</t>
  </si>
  <si>
    <t>HD036498</t>
  </si>
  <si>
    <t>758/1B hương lộ 2 phường bình trị đông A</t>
  </si>
  <si>
    <t>Hoàng Oanh</t>
  </si>
  <si>
    <t>HD036755</t>
  </si>
  <si>
    <t>landmark 2, 208 Nguyễn Hữu Cảnh P22</t>
  </si>
  <si>
    <t>Sâu Nèe</t>
  </si>
  <si>
    <t>HD036691</t>
  </si>
  <si>
    <t>46/31 nguyen cuu van, P17</t>
  </si>
  <si>
    <t>HD036749</t>
  </si>
  <si>
    <t>HD036632</t>
  </si>
  <si>
    <t>C16-17 lô C1, đường DD5, phường Đông Hưng Thuận (ghi chú: sau lưng chợ An Sương)</t>
  </si>
  <si>
    <t>Thanh Hương</t>
  </si>
  <si>
    <t>HD036529</t>
  </si>
  <si>
    <t>622/7 Cộng Hoà</t>
  </si>
  <si>
    <t>Dao Dieu My</t>
  </si>
  <si>
    <t>HD036729</t>
  </si>
  <si>
    <t>31 Phan Huy Ích ( Chung cư Phúc Yên 1 )</t>
  </si>
  <si>
    <t>HD036527</t>
  </si>
  <si>
    <t>Vy Nhật Hà note kh gọi được thì nhắn zalo</t>
  </si>
  <si>
    <t>HD036772</t>
  </si>
  <si>
    <t>Diệp - fb Ngoc Nguyen</t>
  </si>
  <si>
    <t>HD036521</t>
  </si>
  <si>
    <t>chung cư citialto, tháp D, đường 33CL, phường Cát Lái</t>
  </si>
  <si>
    <t>Thuy Chu</t>
  </si>
  <si>
    <t>HD036693</t>
  </si>
  <si>
    <t>8 đường 61, bình trưng đông</t>
  </si>
  <si>
    <t>Đương Thị Nguyễn</t>
  </si>
  <si>
    <t>HD036778</t>
  </si>
  <si>
    <t>17 mai chí thọ an khánh Chung cư newcity</t>
  </si>
  <si>
    <t>Chị Hữu fb Jenny Tran</t>
  </si>
  <si>
    <t>HD036564</t>
  </si>
  <si>
    <t>đường phan văn hớn .Tân t lới nhất Hẻm 287.vô chungcư Teêco Hẻm 287,vô chung cư Teệc )</t>
  </si>
  <si>
    <t>kh ck shop 710k</t>
  </si>
  <si>
    <t>Nguyet Le Ha</t>
  </si>
  <si>
    <t>HD036560</t>
  </si>
  <si>
    <t>Empire City Thủ Thiêm</t>
  </si>
  <si>
    <t>Nguyễn Thị Trâm Annh</t>
  </si>
  <si>
    <t>HD036672</t>
  </si>
  <si>
    <t>40/11 trần thị nghỉ hạnh thông</t>
  </si>
  <si>
    <t>384/22 phạm văn bạch / Tân Sơn</t>
  </si>
  <si>
    <t>BI NÈ</t>
  </si>
  <si>
    <t>Tòa Landmark 208 Nguyễn Hữu Cảnh p22</t>
  </si>
  <si>
    <t>Lê Thảo</t>
  </si>
  <si>
    <t>441 Nguyễn Văn Khởi, Thông Tây Hội</t>
  </si>
  <si>
    <t>Thế Diễm</t>
  </si>
  <si>
    <t>HD036764</t>
  </si>
  <si>
    <t>159 Võ Nguyên Giáp, P. Thảo Điền, chung cư Masteri Thảo Điền (Tháp 3)</t>
  </si>
  <si>
    <t>Oanh Trương</t>
  </si>
  <si>
    <t>HD036568</t>
  </si>
  <si>
    <t>topaz elite dragon 2a</t>
  </si>
  <si>
    <t>Linh Kha</t>
  </si>
  <si>
    <t>HD036575</t>
  </si>
  <si>
    <t>2 Nguyễn văn tưởng, phường Tân Phú</t>
  </si>
  <si>
    <t>Mai trúc</t>
  </si>
  <si>
    <t>HD036655</t>
  </si>
  <si>
    <t>SS1K hồng lĩnh, p15</t>
  </si>
  <si>
    <t>Nguyễn Trúc</t>
  </si>
  <si>
    <t>HD036769</t>
  </si>
  <si>
    <t>239 trần phú p9</t>
  </si>
  <si>
    <t>Ryy</t>
  </si>
  <si>
    <t>HD036686</t>
  </si>
  <si>
    <t>55/9 trường sơn, phường tân sơn hòa (phường 2 cũ)</t>
  </si>
  <si>
    <t>Tố Nữ</t>
  </si>
  <si>
    <t>HD036758</t>
  </si>
  <si>
    <t>326 Võ Văn Kiệt, p.cô giang</t>
  </si>
  <si>
    <t>Thương Thương</t>
  </si>
  <si>
    <t>HD036604</t>
  </si>
  <si>
    <t>193/12 bà hạt p vườn lài</t>
  </si>
  <si>
    <t>HD036579</t>
  </si>
  <si>
    <t>96a đg` 79 Tân Quy</t>
  </si>
  <si>
    <t>Kim Ngân</t>
  </si>
  <si>
    <t>HD036777</t>
  </si>
  <si>
    <t>112 bùi thị xuân, phường bến thành</t>
  </si>
  <si>
    <t>Trâm Đoàn</t>
  </si>
  <si>
    <t>HD036781</t>
  </si>
  <si>
    <t>37 cao lo p chánh hưng</t>
  </si>
  <si>
    <t>Kim Anh Phạm</t>
  </si>
  <si>
    <t>HD036552</t>
  </si>
  <si>
    <t>6 cư xá bình minh, dương Bá Trạc, phường 1</t>
  </si>
  <si>
    <t>at 17-07</t>
  </si>
  <si>
    <t>Nguyễn Tú Trinh</t>
  </si>
  <si>
    <t>HD037116</t>
  </si>
  <si>
    <t>393 luỹ bán bích, hiệp tân</t>
  </si>
  <si>
    <t>AT 18-07</t>
  </si>
  <si>
    <t>18-07-2026</t>
  </si>
  <si>
    <t>Như Triệu</t>
  </si>
  <si>
    <t>HD031670</t>
  </si>
  <si>
    <t>98/10 Nam Châu P11</t>
  </si>
  <si>
    <t>Lan Nguyen</t>
  </si>
  <si>
    <t>HD036886</t>
  </si>
  <si>
    <t>116 lý chiêu hoàng p10</t>
  </si>
  <si>
    <t>TRÂN THÙY</t>
  </si>
  <si>
    <t>HD036943</t>
  </si>
  <si>
    <t>125/12 LÊ VĂN PHAN, PHƯỜNG PHÚ THỌ HOÀ</t>
  </si>
  <si>
    <t>HD036976</t>
  </si>
  <si>
    <t>Giai Kỳ</t>
  </si>
  <si>
    <t>HD037002</t>
  </si>
  <si>
    <t>Ks Phú Hưng, 338 tân sơn nhì</t>
  </si>
  <si>
    <t>Fx Nguyen zalo</t>
  </si>
  <si>
    <t>HD037096</t>
  </si>
  <si>
    <t>la tạ quang bửu f6</t>
  </si>
  <si>
    <t>HD037109</t>
  </si>
  <si>
    <t>Dung Nguyễn</t>
  </si>
  <si>
    <t>HD036939</t>
  </si>
  <si>
    <t>555/6 kinh dương vương, phường an lạc</t>
  </si>
  <si>
    <t>Nabee2530</t>
  </si>
  <si>
    <t>HD037081</t>
  </si>
  <si>
    <t>275/1461, Đ. Đặng Nguyên Cần, Phường 14</t>
  </si>
  <si>
    <t>Hoa Ai</t>
  </si>
  <si>
    <t>HD037104</t>
  </si>
  <si>
    <t>76/43/23 nguyễn sơn</t>
  </si>
  <si>
    <t>Nhung Gumiho</t>
  </si>
  <si>
    <t>HD037082</t>
  </si>
  <si>
    <t>497/28 phạm văn chiêu p13</t>
  </si>
  <si>
    <t>HD037099</t>
  </si>
  <si>
    <t>47/3 lê trực phường gia định</t>
  </si>
  <si>
    <t>Nguyễn Hải Hường</t>
  </si>
  <si>
    <t>HD037080</t>
  </si>
  <si>
    <t>60/9/5 đường số 2 phường hiệp bình phước</t>
  </si>
  <si>
    <t>HD036925</t>
  </si>
  <si>
    <t>60/9/5 đường số 2 hiệp bình Phước</t>
  </si>
  <si>
    <t>HD037084</t>
  </si>
  <si>
    <t>Kendy Tran</t>
  </si>
  <si>
    <t>HD037127</t>
  </si>
  <si>
    <t>Happy One Premier, Đ. TL 08, Khu Nam Long, An Phú Đông</t>
  </si>
  <si>
    <t>Mỹ Linh Đinh Nguyễn</t>
  </si>
  <si>
    <t>HD037073</t>
  </si>
  <si>
    <t>Toà 58.03 Origami, Vinhomes Grand Park, Long Bình</t>
  </si>
  <si>
    <t>Mỹ Diện</t>
  </si>
  <si>
    <t>HD036941</t>
  </si>
  <si>
    <t>vinhomes grand park tòa nhà 5705 nguyễn xiển p long thạnh mỹ</t>
  </si>
  <si>
    <t>HD037074</t>
  </si>
  <si>
    <t>Vi Huynh</t>
  </si>
  <si>
    <t>HD036872</t>
  </si>
  <si>
    <t>43 Trần Lựu, Bình Trưng</t>
  </si>
  <si>
    <t>Ngọc Minh</t>
  </si>
  <si>
    <t>HD036931</t>
  </si>
  <si>
    <t>60/25/15 lê văn duyệt phường 1</t>
  </si>
  <si>
    <t>Hân Huệ (Dung)</t>
  </si>
  <si>
    <t>HD036819</t>
  </si>
  <si>
    <t>403 Tân Sơn P.12</t>
  </si>
  <si>
    <t>Kẹo Kẹo</t>
  </si>
  <si>
    <t>HD037061</t>
  </si>
  <si>
    <t>185 tam bình</t>
  </si>
  <si>
    <t>meomeo</t>
  </si>
  <si>
    <t>HD037070</t>
  </si>
  <si>
    <t>216/1 Nguyễn Văn Nghi, Phường Hạnh Thông</t>
  </si>
  <si>
    <t>Thùy Linh</t>
  </si>
  <si>
    <t>HD036820</t>
  </si>
  <si>
    <t>Căn hộ chung cư V3-16.01, Sunrise City South - số 23 Nguyễn Hữu Thọ, phường Tân Hưng</t>
  </si>
  <si>
    <t>HD036861</t>
  </si>
  <si>
    <t>Candy tang</t>
  </si>
  <si>
    <t>HD037102</t>
  </si>
  <si>
    <t>230 Đ. Lê Văn Sỹ, Tân Sơn Hòa</t>
  </si>
  <si>
    <t>kh ck shop 1345k</t>
  </si>
  <si>
    <t>Đình Đình</t>
  </si>
  <si>
    <t>HD036902</t>
  </si>
  <si>
    <t>Chung cư sinh lợi, đường số 18, khu dân cư Trung Sơn, Bình Hưng</t>
  </si>
  <si>
    <t>HD037010</t>
  </si>
  <si>
    <t>Trầnn Ngọc Thảo</t>
  </si>
  <si>
    <t>HD037008</t>
  </si>
  <si>
    <t>360/10/15 phạm hữu lầu phước kiểng</t>
  </si>
  <si>
    <t>Hiểu My</t>
  </si>
  <si>
    <t>HD036849</t>
  </si>
  <si>
    <t>Toà 2, chung cư river panorama, 20 lê thị chợ, phường phú thuận</t>
  </si>
  <si>
    <t>Nguyên (Gia Minh)</t>
  </si>
  <si>
    <t>HD037083</t>
  </si>
  <si>
    <t>B106 Bạch Đằng, P.2</t>
  </si>
  <si>
    <t>at 18-07</t>
  </si>
  <si>
    <t>Hân Hânn</t>
  </si>
  <si>
    <t>HD036875</t>
  </si>
  <si>
    <t>A28/27HT4 ấp 1 xã bình hưng</t>
  </si>
  <si>
    <t>AT 20-07</t>
  </si>
  <si>
    <t>20-07-2026</t>
  </si>
  <si>
    <t>HD037483</t>
  </si>
  <si>
    <t>Minh Tú</t>
  </si>
  <si>
    <t>HD037478</t>
  </si>
  <si>
    <t>1002 tạ quang bửu p6 - Chung cư Pegasuite 1</t>
  </si>
  <si>
    <t>Ngọc Bích</t>
  </si>
  <si>
    <t>HD037465</t>
  </si>
  <si>
    <t>12.03 MP5, Mizuki Park, Đường số 1, Bình Hưng, Xã Bình Hưng</t>
  </si>
  <si>
    <t>Tuyết Hoa</t>
  </si>
  <si>
    <t>HD037434</t>
  </si>
  <si>
    <t>308/8 tân hương phường Phú thọ hòa</t>
  </si>
  <si>
    <t>kh ck shop 915k</t>
  </si>
  <si>
    <t>Phương Trang</t>
  </si>
  <si>
    <t>HD037137</t>
  </si>
  <si>
    <t>50 phan đình phùng</t>
  </si>
  <si>
    <t>Phạm Thu Hường</t>
  </si>
  <si>
    <t>HD037187</t>
  </si>
  <si>
    <t xml:space="preserve">Căn hộ Mizuki Rora - tháp FP1 Đường số 1, KĐT Mizuki Park, X. Bình Hưng </t>
  </si>
  <si>
    <t>Ngọc Quỳnh</t>
  </si>
  <si>
    <t>HD037295</t>
  </si>
  <si>
    <t>78 đường số 7, phường Bình Hưng Hòa</t>
  </si>
  <si>
    <t>HD037283</t>
  </si>
  <si>
    <t>C. Trang</t>
  </si>
  <si>
    <t>Nhà xe Hải Luân: 28/29 Lương Thế Vinh, phường Tân Thới Hòa</t>
  </si>
  <si>
    <t>ko tính bảng đối soát</t>
  </si>
  <si>
    <t>Thúy Hằng Trương</t>
  </si>
  <si>
    <t>HD037391</t>
  </si>
  <si>
    <t>26 hoàng diệu 2 phường linh chiểu</t>
  </si>
  <si>
    <t xml:space="preserve">Vi Vi </t>
  </si>
  <si>
    <t>HD037232</t>
  </si>
  <si>
    <t>76/12 Quốc Hương Thảo Điền</t>
  </si>
  <si>
    <t>Thuỷ Xu Du</t>
  </si>
  <si>
    <t>HD037456</t>
  </si>
  <si>
    <t>171/66 nguyễn tư giản,p12</t>
  </si>
  <si>
    <t>Melissa Chew</t>
  </si>
  <si>
    <t>HD037487</t>
  </si>
  <si>
    <t>22 TÂN THỚI NHẤT 1B, Phường Tân Thới Nhất</t>
  </si>
  <si>
    <t>BN2705</t>
  </si>
  <si>
    <t>HD037484</t>
  </si>
  <si>
    <t>163 Trương Thị Hoa, phường Tân Thới Hiệp</t>
  </si>
  <si>
    <t>Nguyễn Thị Hương</t>
  </si>
  <si>
    <t>HD037139</t>
  </si>
  <si>
    <t>284 Lê văn việt, tăng Nhơn Phú</t>
  </si>
  <si>
    <t>Ngọc Nguyên</t>
  </si>
  <si>
    <t>HD037466</t>
  </si>
  <si>
    <t>276/2/1 thống nhất f16</t>
  </si>
  <si>
    <t>HD037365</t>
  </si>
  <si>
    <t>(Ghi rõ là gửi cho Mimi -87780266)</t>
  </si>
  <si>
    <t>HD037390</t>
  </si>
  <si>
    <t>39 an nhơn phường 17</t>
  </si>
  <si>
    <t>Ms. Tiênn</t>
  </si>
  <si>
    <t>HD037479</t>
  </si>
  <si>
    <t>Newcity tháp bali 1 căn 25.09 17 mai chí thọ</t>
  </si>
  <si>
    <t>Khánh Linh</t>
  </si>
  <si>
    <t>HD037288</t>
  </si>
  <si>
    <t>33/58 lâm thị hồ - tân chánh hiệp</t>
  </si>
  <si>
    <t>Phạm Quỳnh Anh</t>
  </si>
  <si>
    <t>HD037340</t>
  </si>
  <si>
    <t>255a24 nguyễn văn lượng p10</t>
  </si>
  <si>
    <t>HD037218</t>
  </si>
  <si>
    <t>Em Na</t>
  </si>
  <si>
    <t>16/2 THÁI THỊ NHẠN P10</t>
  </si>
  <si>
    <t>Ngọc Phương</t>
  </si>
  <si>
    <t>HD037193</t>
  </si>
  <si>
    <t>290 An Dương Vương P4</t>
  </si>
  <si>
    <t>Quân Đỗ</t>
  </si>
  <si>
    <t>HD037186</t>
  </si>
  <si>
    <t>487/39/9 Huỳnh tấn phát</t>
  </si>
  <si>
    <t>JoJo KeoouThai</t>
  </si>
  <si>
    <t>HD037166</t>
  </si>
  <si>
    <t>26 Lê Văn Lương, Phước Kiến</t>
  </si>
  <si>
    <t>Nguyễn An Thu Hạ</t>
  </si>
  <si>
    <t>HD037367</t>
  </si>
  <si>
    <t>16 tân canh, tân sơn hoà</t>
  </si>
  <si>
    <t>My My</t>
  </si>
  <si>
    <t>HD037321</t>
  </si>
  <si>
    <t>114 vỏ liêm Sơn, phường Chánh hưng</t>
  </si>
  <si>
    <t>HD036782</t>
  </si>
  <si>
    <t>Thao Trinh fb Mai Trinh</t>
  </si>
  <si>
    <t>HD037241</t>
  </si>
  <si>
    <t>432A/40/2G Dương Bá Trạc,Phường 1</t>
  </si>
  <si>
    <t>ms Quỳnh fb Lê Men</t>
  </si>
  <si>
    <t>HD037398</t>
  </si>
  <si>
    <t>11 Nguyễn Trọng Lội, phường Tân Sơn Nhất</t>
  </si>
  <si>
    <t>Mộng Pretty</t>
  </si>
  <si>
    <t>HD037153</t>
  </si>
  <si>
    <t>số 9a Ba Vì, phường 4</t>
  </si>
  <si>
    <t>at 20-07</t>
  </si>
  <si>
    <t>Ngọc Sam</t>
  </si>
  <si>
    <t>HD037535</t>
  </si>
  <si>
    <t>25 đường 32 tiểu khu 1, phường An Lạc</t>
  </si>
  <si>
    <t>AT 21-07</t>
  </si>
  <si>
    <t>21-07-2026</t>
  </si>
  <si>
    <t>HD037490</t>
  </si>
  <si>
    <t>VTS-34309SAK, 601 QL1A, An Lạc</t>
  </si>
  <si>
    <t>MC Boen Khemalaiy- (MV01886)</t>
  </si>
  <si>
    <t>HD037691</t>
  </si>
  <si>
    <t>Tuyen Bich Cao</t>
  </si>
  <si>
    <t>HD037677</t>
  </si>
  <si>
    <t>351/2 an dương vương p bình phú</t>
  </si>
  <si>
    <t>Lisa Ng</t>
  </si>
  <si>
    <t>HD037624</t>
  </si>
  <si>
    <t>59 Phan Nhữ Tăng phường 4</t>
  </si>
  <si>
    <t>HD037593</t>
  </si>
  <si>
    <t>Địa chỉ; Chung cư Tecco, Block C, đường Nguyễn Cửu Phú, phường Tân Tạo</t>
  </si>
  <si>
    <t>HD037528</t>
  </si>
  <si>
    <t>Chung cư Tecco, block C, đường Nguyễn Cửu Phú</t>
  </si>
  <si>
    <t>HD037587</t>
  </si>
  <si>
    <t>Selena Pham</t>
  </si>
  <si>
    <t>HD037574</t>
  </si>
  <si>
    <t>616/61,118 Lê Đức Thọ, Phường 15 (P. An Hội Đông)</t>
  </si>
  <si>
    <t>Angela Nguyễn</t>
  </si>
  <si>
    <t>HD037529</t>
  </si>
  <si>
    <t xml:space="preserve">328 ung văn khiêm phường thạnh mỹ tây </t>
  </si>
  <si>
    <t>HD037636</t>
  </si>
  <si>
    <t>HD037562</t>
  </si>
  <si>
    <t>Huy fb Linh Truong</t>
  </si>
  <si>
    <t>HD037693</t>
  </si>
  <si>
    <t>165 Đường số 14, Phường Phước Bình</t>
  </si>
  <si>
    <t>Lisa</t>
  </si>
  <si>
    <t>Lê Thảo – Sỉ Kosalim</t>
  </si>
  <si>
    <t>441 Nguyễn Văn Khối, Thông Tây Hội</t>
  </si>
  <si>
    <t>HD037527</t>
  </si>
  <si>
    <t>Nguyễn Ngọc Hoài Thương</t>
  </si>
  <si>
    <t>HD037631</t>
  </si>
  <si>
    <t>139 trần huy liệu p8</t>
  </si>
  <si>
    <t>Sam Sam</t>
  </si>
  <si>
    <t>HD037596</t>
  </si>
  <si>
    <t>Sunrise city view tòa B, 33 Nguyễn Hữu Thọ phường Tân Hưng</t>
  </si>
  <si>
    <t>HD037613</t>
  </si>
  <si>
    <t>55/9 trường sơn phường tân sơn hoà (phường 2 cũ)</t>
  </si>
  <si>
    <t>Chloe Pham</t>
  </si>
  <si>
    <t>HD037518</t>
  </si>
  <si>
    <t>Toà c2 sg riverside complex</t>
  </si>
  <si>
    <t>HD037688</t>
  </si>
  <si>
    <t>Hang Vo</t>
  </si>
  <si>
    <t>HD037698</t>
  </si>
  <si>
    <t>chung cu Docklands 99 Nguyễn Thị Thập, p. Tân Phú</t>
  </si>
  <si>
    <t>Vin Vyn-Daravin</t>
  </si>
  <si>
    <t>HD037605</t>
  </si>
  <si>
    <t>141 hùng vương phường 4</t>
  </si>
  <si>
    <t>at 21-07</t>
  </si>
  <si>
    <t>HD037917</t>
  </si>
  <si>
    <t>AT 22-07</t>
  </si>
  <si>
    <t>22-07-2026</t>
  </si>
  <si>
    <t>Hà Kim Ánh</t>
  </si>
  <si>
    <t>HD037924</t>
  </si>
  <si>
    <t>80/120 đường hoàng ngân, p16</t>
  </si>
  <si>
    <t>Bao Bei</t>
  </si>
  <si>
    <t>HD037919</t>
  </si>
  <si>
    <t>12/13.duong su doan 9.vinh lọc a</t>
  </si>
  <si>
    <t>Chị Quyên fb An Nhiên</t>
  </si>
  <si>
    <t>HD037777</t>
  </si>
  <si>
    <t>chung cư D-Aqua 301 Bình Đông, Phú Định</t>
  </si>
  <si>
    <t>Nguyễn Thị Kim Thoa</t>
  </si>
  <si>
    <t>HD037776</t>
  </si>
  <si>
    <t>số 25a đường 22 bình hưng hòa a</t>
  </si>
  <si>
    <t>Kim Ánh</t>
  </si>
  <si>
    <t>HD037746</t>
  </si>
  <si>
    <t>Số 895, Nguyễn Cửu Phú, Ấp 23 Tân Nhựt</t>
  </si>
  <si>
    <t>HD037772</t>
  </si>
  <si>
    <t>88/16A ấp 2 xã Hưng long</t>
  </si>
  <si>
    <t>HD037804</t>
  </si>
  <si>
    <t>Linh Nga Anna</t>
  </si>
  <si>
    <t>624 Lê thị riêng thới an</t>
  </si>
  <si>
    <t>Trang Tran NJ</t>
  </si>
  <si>
    <t>trợ lý uyên_FB: Võ Quỳnh Giang</t>
  </si>
  <si>
    <t>HD037755</t>
  </si>
  <si>
    <t>biệt thự villa ven sông tên cảng, vinhomes central park, 208 nguyễn hữu cảnh</t>
  </si>
  <si>
    <t>HD037952</t>
  </si>
  <si>
    <t>Nguyễn Hân</t>
  </si>
  <si>
    <t>HD037901</t>
  </si>
  <si>
    <t>340 cộng Hoà,p13</t>
  </si>
  <si>
    <t>Charii ( inst chari_importshop )-BN2441</t>
  </si>
  <si>
    <t>HD037941</t>
  </si>
  <si>
    <t>Nguyễn Lee + Malay</t>
  </si>
  <si>
    <t>HD037723</t>
  </si>
  <si>
    <t>Số 483 Trương Thị Hoa, Tân Thới Hiệp</t>
  </si>
  <si>
    <t>Ella Chu</t>
  </si>
  <si>
    <t>HD037814</t>
  </si>
  <si>
    <t>Toà Bora Bora, Diamond Island (Đảo Kim Cương), đường Trần Quý Kiên, phường Bình Trưng</t>
  </si>
  <si>
    <t>Hải Anh</t>
  </si>
  <si>
    <t>HD037766</t>
  </si>
  <si>
    <t>L-1506,CC One Verandah, số 2 Bát Nàn, Thạnh Mỹ Lợi</t>
  </si>
  <si>
    <t>Nguyễn Thùy Vi</t>
  </si>
  <si>
    <t>HD037737</t>
  </si>
  <si>
    <t>Toà Crest, N1: Metropole Thủ Thiêm, p An Khánh</t>
  </si>
  <si>
    <t>Lê Tùng fb Lê An Trang</t>
  </si>
  <si>
    <t>HD037816</t>
  </si>
  <si>
    <t>10/4A3, đường số 24, phường Hiệp Bình</t>
  </si>
  <si>
    <t>JESSICA fb Le Thi Hoahau</t>
  </si>
  <si>
    <t>HD037913</t>
  </si>
  <si>
    <t>22 TÂN THỚI NHẤT B, ĐÔNG HƯNG THUẬN (P. TÂN THỚI NHẤT CŨ)</t>
  </si>
  <si>
    <t>QIQI</t>
  </si>
  <si>
    <t>HD037943</t>
  </si>
  <si>
    <t>58/6 đường C12, phường Tân Bình (cũ P13)</t>
  </si>
  <si>
    <t>Mị Nương nguyễn</t>
  </si>
  <si>
    <t>HD037722</t>
  </si>
  <si>
    <t>16 nguyễn Văn kỉnh Thạnh Mỹ Lợi</t>
  </si>
  <si>
    <t>Thư Thư</t>
  </si>
  <si>
    <t>HD037795</t>
  </si>
  <si>
    <t>132 đường số 1, Tân Phú</t>
  </si>
  <si>
    <t>Nguyễn Thu Quỳnh</t>
  </si>
  <si>
    <t>HD037786</t>
  </si>
  <si>
    <t>27/7 bà lê chân tân định</t>
  </si>
  <si>
    <t>ly fb Huyền Vân</t>
  </si>
  <si>
    <t>HD037914</t>
  </si>
  <si>
    <t>91 Pasteur, p Sài gòn (p Bến Nghé cũ)</t>
  </si>
  <si>
    <t>HD037780</t>
  </si>
  <si>
    <t>HD037669</t>
  </si>
  <si>
    <t>114 vỏ liêm Sơn,phường Chánh hưng</t>
  </si>
  <si>
    <t>Thu Uyên</t>
  </si>
  <si>
    <t>HD037820</t>
  </si>
  <si>
    <t>saigon royal 9 Đ. Nguyễn Trường Tộ, Phường 12, Xóm Chiếu</t>
  </si>
  <si>
    <t>kh ck shop 1405k</t>
  </si>
  <si>
    <t>Quynh Anh</t>
  </si>
  <si>
    <t>HD037828</t>
  </si>
  <si>
    <t>26 đường số 22, khu năm tháng 3, Phường Tân Mỹ (phường tân phú)</t>
  </si>
  <si>
    <t>at 22-07</t>
  </si>
  <si>
    <t>Dung Mai</t>
  </si>
  <si>
    <t>HD038062</t>
  </si>
  <si>
    <t>37.lê đình thụ tân thành</t>
  </si>
  <si>
    <t>AT 23-07</t>
  </si>
  <si>
    <t>23-07-2026</t>
  </si>
  <si>
    <t>Huỳnh Thanh Thanh</t>
  </si>
  <si>
    <t>HD038029</t>
  </si>
  <si>
    <t>688/23/ 1c hương lộ 2, phường bình trị đông A</t>
  </si>
  <si>
    <t>bé ti - fb Phan Thị Yến Nhi</t>
  </si>
  <si>
    <t>HD038022</t>
  </si>
  <si>
    <t>A5/21 ấp 1, vĩnh lộc b</t>
  </si>
  <si>
    <t>coca ( kẹ)</t>
  </si>
  <si>
    <t>HD037931</t>
  </si>
  <si>
    <t>532/3/93 kinh dương vương, Phường An Lạc</t>
  </si>
  <si>
    <t>Hiền - fb Ruby Nguyễn</t>
  </si>
  <si>
    <t>HD038231</t>
  </si>
  <si>
    <t>62 Cầu Xây phường Tăng Nhơn Phú</t>
  </si>
  <si>
    <t>Trần Như Thủy</t>
  </si>
  <si>
    <t>HD037902</t>
  </si>
  <si>
    <t>5/4a bà lài, p bình tiên</t>
  </si>
  <si>
    <t>bối bối</t>
  </si>
  <si>
    <t>HD038221</t>
  </si>
  <si>
    <t>chung cư lê thành tân tạo 117/80 hồ văn lang, tân tạo</t>
  </si>
  <si>
    <t>Ly Xinh</t>
  </si>
  <si>
    <t>HD038119</t>
  </si>
  <si>
    <t>1002 ta quang bửu chung cu the pegasut p6</t>
  </si>
  <si>
    <t>Thảo Đoàn</t>
  </si>
  <si>
    <t>HD038079</t>
  </si>
  <si>
    <t>1041 Hồng Bàng, P. Phú Lâm</t>
  </si>
  <si>
    <t>Sương Phạm</t>
  </si>
  <si>
    <t>HD038088</t>
  </si>
  <si>
    <t>số 529 kênh tân hoá</t>
  </si>
  <si>
    <t>Destiny Huynh</t>
  </si>
  <si>
    <t>HD038109</t>
  </si>
  <si>
    <t>213B/7 Đường đê bao rạch gia, Xã An Phú Tây</t>
  </si>
  <si>
    <t>HD038056</t>
  </si>
  <si>
    <t>Trần Thị Ý Như</t>
  </si>
  <si>
    <t>HD038145</t>
  </si>
  <si>
    <t>Chung cư hoa sen 262/20 Lạc Long Quân Bình Thới</t>
  </si>
  <si>
    <t>Trần Thảo</t>
  </si>
  <si>
    <t>Số 262/26/3 Lũy Bán Bích, phường Tân Phú</t>
  </si>
  <si>
    <t>Trần thị vân</t>
  </si>
  <si>
    <t>HD038078</t>
  </si>
  <si>
    <t>1335/10/50, kp.2, Tỉnh Lộ 43, P. Tam Bình</t>
  </si>
  <si>
    <t>Hồ Thanh Phương</t>
  </si>
  <si>
    <t>HD038038</t>
  </si>
  <si>
    <t>158/56/21 Phạm Văn Chiêu, phường 8</t>
  </si>
  <si>
    <t>Phạm Kim Hồng Ngọc (kieutranganhh Instagram)</t>
  </si>
  <si>
    <t>HD038217</t>
  </si>
  <si>
    <t>246 Đặng Văn Bi, Phường Bình Thọ</t>
  </si>
  <si>
    <t>Phạm Kim Hồng Ngọc (Kieutranganhh Instagram).</t>
  </si>
  <si>
    <t>HD038074</t>
  </si>
  <si>
    <t>Kim Loan</t>
  </si>
  <si>
    <t>HD038116</t>
  </si>
  <si>
    <t>C82a1 đường Nguyễn Văn Quá, phường Đông Hưng Thuận</t>
  </si>
  <si>
    <t>Hoang Nhung</t>
  </si>
  <si>
    <t>HD038063</t>
  </si>
  <si>
    <t>174/7 đường 20 f5</t>
  </si>
  <si>
    <t>HD037967</t>
  </si>
  <si>
    <t>Nguyễn Tuyền</t>
  </si>
  <si>
    <t>HD038016</t>
  </si>
  <si>
    <t>208/15a đường số 9 p16 (gõ gg 208/18 nhà em đối diện)</t>
  </si>
  <si>
    <t>HD038113</t>
  </si>
  <si>
    <t>Toà Landmark 2 vinhomes central park, số 720A Điện Biên Phủ, phường Thạnh Mỹ Tây</t>
  </si>
  <si>
    <t>Vân Vân Ori</t>
  </si>
  <si>
    <t>HD037968</t>
  </si>
  <si>
    <t>160/25/13 Huỳnh thị hai Phường Trung Mỹ Tây</t>
  </si>
  <si>
    <t>kh ck shop 890k</t>
  </si>
  <si>
    <t>Trang Cũng</t>
  </si>
  <si>
    <t>HD036596</t>
  </si>
  <si>
    <t>79/30 quốc lộ 13 p26</t>
  </si>
  <si>
    <t>HD038144</t>
  </si>
  <si>
    <t>Lam Kim Oanh</t>
  </si>
  <si>
    <t>HD038087</t>
  </si>
  <si>
    <t>103 đường số 14 p8</t>
  </si>
  <si>
    <t>Thảo Ly Nguyễn</t>
  </si>
  <si>
    <t>HD038137</t>
  </si>
  <si>
    <t>35/4 đường Nguyễn thị búp phường hiệp thành</t>
  </si>
  <si>
    <t>Kim Ngọc</t>
  </si>
  <si>
    <t>HD038080</t>
  </si>
  <si>
    <t>Nhà hàng 39, số 39 Trần Não, P. An Khánh</t>
  </si>
  <si>
    <t>Darin</t>
  </si>
  <si>
    <t>HD038243</t>
  </si>
  <si>
    <t>MengLay - Minh</t>
  </si>
  <si>
    <t>HD038047</t>
  </si>
  <si>
    <t>45/6/2 Đường 3/2 Phường 11</t>
  </si>
  <si>
    <t>HD038236</t>
  </si>
  <si>
    <t>666/28/3 duong 3/2, P14</t>
  </si>
  <si>
    <t>HD038110</t>
  </si>
  <si>
    <t>HD038054</t>
  </si>
  <si>
    <t>Hồng Tươispa</t>
  </si>
  <si>
    <t>HD037815</t>
  </si>
  <si>
    <t>9 nội khu mỹ toàn 2, phường Tân Hưng</t>
  </si>
  <si>
    <t>Lâm Tino (đồ MaiVy)</t>
  </si>
  <si>
    <t>HD038107</t>
  </si>
  <si>
    <t>835 Lê hồng phong p12</t>
  </si>
  <si>
    <t>Hanh Hoang</t>
  </si>
  <si>
    <t>HD038211</t>
  </si>
  <si>
    <t>19 Võ Văn Tần, Phường Võ Thị Sáu</t>
  </si>
  <si>
    <t>Lydia</t>
  </si>
  <si>
    <t>HD038174</t>
  </si>
  <si>
    <t>99 an duong vuong p an đông</t>
  </si>
  <si>
    <t>C9-YY-AnnChee</t>
  </si>
  <si>
    <t>HD038030</t>
  </si>
  <si>
    <t>29/7 Đường Yên Thế, Phường 2</t>
  </si>
  <si>
    <t>Nguyễn Hồng Nga</t>
  </si>
  <si>
    <t>HD038117</t>
  </si>
  <si>
    <t>NGA Thinkpad | 56 Trần Quốc Thảo PVõ Thị sáu</t>
  </si>
  <si>
    <t>Thi Thi</t>
  </si>
  <si>
    <t>HD037978</t>
  </si>
  <si>
    <t>545 trần hưng đạo b phường 14</t>
  </si>
  <si>
    <t>Trâm nguyễn kuching fb Hana Ng</t>
  </si>
  <si>
    <t>HD037970</t>
  </si>
  <si>
    <t>Cty WL, kho D36, đường C2, P. bảy Hiền</t>
  </si>
  <si>
    <t>at 23-07</t>
  </si>
  <si>
    <t>AT 24-07</t>
  </si>
  <si>
    <t>24-07-2026</t>
  </si>
  <si>
    <t>NG MY</t>
  </si>
  <si>
    <t>HD038296</t>
  </si>
  <si>
    <t>75/3 đuong 30/4 tân thành</t>
  </si>
  <si>
    <t>HD038377</t>
  </si>
  <si>
    <t>lisa</t>
  </si>
  <si>
    <t>Nguyễn Thuỳ Minh Tuyết</t>
  </si>
  <si>
    <t>HD038277</t>
  </si>
  <si>
    <t>Toà S205, Vinhomes Grand Park, khu phố 51, phường Long Bình</t>
  </si>
  <si>
    <t>HDO1784800494827_481973</t>
  </si>
  <si>
    <t>Linh Bửu</t>
  </si>
  <si>
    <t>HD038475</t>
  </si>
  <si>
    <t>Landmark 4,P22</t>
  </si>
  <si>
    <t>chị Mến</t>
  </si>
  <si>
    <t>HD038368</t>
  </si>
  <si>
    <t>Toà Nhà S502 - Vinhomes Grand Park, Phường Long Thạnh Mỹ</t>
  </si>
  <si>
    <t>kh ck shop 800k</t>
  </si>
  <si>
    <t>Thi Thỏ</t>
  </si>
  <si>
    <t>HD038471</t>
  </si>
  <si>
    <t>338/5/7 Nguyễn Xí phường 13</t>
  </si>
  <si>
    <t>Khuyên Nguyễn</t>
  </si>
  <si>
    <t>HD038427</t>
  </si>
  <si>
    <t>385 lê văn thọ thông tây hội</t>
  </si>
  <si>
    <t>Reak Smy</t>
  </si>
  <si>
    <t>326 Lê Văn Lương, Tân Hưng</t>
  </si>
  <si>
    <t>Vân MyMy</t>
  </si>
  <si>
    <t>HD038299</t>
  </si>
  <si>
    <t>107 nguyễn văn linh chung cư eco green lock H</t>
  </si>
  <si>
    <t>Huệ Nghi fb Violet Đỗ</t>
  </si>
  <si>
    <t>HD038462</t>
  </si>
  <si>
    <t>115 / 52a trần Đình su, P Nguyễn cư trinh</t>
  </si>
  <si>
    <t>HD038468</t>
  </si>
  <si>
    <t>69 phổ tiểu nam, P. Tân Phú</t>
  </si>
  <si>
    <t>Chị Mai</t>
  </si>
  <si>
    <t>HD038045</t>
  </si>
  <si>
    <t>Ship 9 Nguyễn khoái p1</t>
  </si>
  <si>
    <t>Trinh Phan</t>
  </si>
  <si>
    <t>HD038292</t>
  </si>
  <si>
    <t>27 Định Công tráng tân định</t>
  </si>
  <si>
    <t>Ngan Huynh</t>
  </si>
  <si>
    <t>HD038484</t>
  </si>
  <si>
    <t>167 phạm ngũ lão</t>
  </si>
  <si>
    <t>hàng của chị Cindy Pham</t>
  </si>
  <si>
    <t>HD038393</t>
  </si>
  <si>
    <t>54 bạch vân, p5</t>
  </si>
  <si>
    <t>at 24-07</t>
  </si>
  <si>
    <t>AT 25-07</t>
  </si>
  <si>
    <t>25-07-2026</t>
  </si>
  <si>
    <t>Huong Pham</t>
  </si>
  <si>
    <t>HD038614</t>
  </si>
  <si>
    <t>1A Tạ Quang Bửu, P6 Chung cư Tara Residence</t>
  </si>
  <si>
    <t>Ny Feb</t>
  </si>
  <si>
    <t>HD038552</t>
  </si>
  <si>
    <t>292/4 Bình Trị Đông phường Bình Trị Đông</t>
  </si>
  <si>
    <t>Lê Thị Thanh Hiền</t>
  </si>
  <si>
    <t>HD038691</t>
  </si>
  <si>
    <t>3c 31/10 xã phạm văn hai</t>
  </si>
  <si>
    <t>Ngọc Giàu</t>
  </si>
  <si>
    <t>HD038600</t>
  </si>
  <si>
    <t>207 trần văn kiểu phường bình phú</t>
  </si>
  <si>
    <t>Lan Phạm</t>
  </si>
  <si>
    <t>HD038800</t>
  </si>
  <si>
    <t>685 âu cơ p tân thành - lô C</t>
  </si>
  <si>
    <t>HD038590</t>
  </si>
  <si>
    <t>Đỗ Kim Quyên</t>
  </si>
  <si>
    <t>HD038745</t>
  </si>
  <si>
    <t>213/3 phạm văn chiêu p9</t>
  </si>
  <si>
    <t>Ha fb Kathy Nhung</t>
  </si>
  <si>
    <t>HD038635</t>
  </si>
  <si>
    <t>38 Đ. Kha Vạn Cân, Hiệp Bình Chánh</t>
  </si>
  <si>
    <t>Diễm Quỳnh</t>
  </si>
  <si>
    <t>HD038784</t>
  </si>
  <si>
    <t>Masteri thảo điền tháp 13 Thao dien</t>
  </si>
  <si>
    <t>HD038739</t>
  </si>
  <si>
    <t>HD038566</t>
  </si>
  <si>
    <t>Na Bi (Trần Nhật Ý)</t>
  </si>
  <si>
    <t>HD038761</t>
  </si>
  <si>
    <t>58B Nguyễn Thị Thập Phường Bình Thuận (cc the golden stars)</t>
  </si>
  <si>
    <t>Rạng</t>
  </si>
  <si>
    <t>HD038548</t>
  </si>
  <si>
    <t>Lô H, 251 Nguyễn Thiện Thuật, P.Bàn cờ</t>
  </si>
  <si>
    <t>Thỏ</t>
  </si>
  <si>
    <t>HD038603</t>
  </si>
  <si>
    <t>189A Nguyễn Thiện Thuật, phường Bàn Cờ</t>
  </si>
  <si>
    <t>HD038575</t>
  </si>
  <si>
    <t>Hà Mi</t>
  </si>
  <si>
    <t>HD038787</t>
  </si>
  <si>
    <t>82 trần hưng đạo p an đông</t>
  </si>
  <si>
    <t>KN Nguyen</t>
  </si>
  <si>
    <t>HD038765</t>
  </si>
  <si>
    <t>số 3 đường 41 p. Khánh Hội</t>
  </si>
  <si>
    <t>Hiếu Lee</t>
  </si>
  <si>
    <t>HD038750</t>
  </si>
  <si>
    <t>Chung cu folita him lam</t>
  </si>
  <si>
    <t>Mỹ Mỹ</t>
  </si>
  <si>
    <t>HD038551</t>
  </si>
  <si>
    <t>154/45/13 âu dương lâu, p3</t>
  </si>
  <si>
    <t>HD038589</t>
  </si>
  <si>
    <t>322/8 đào sự tích, phước lộc</t>
  </si>
  <si>
    <t>Nguyễn Hoài Anh</t>
  </si>
  <si>
    <t>HD038613</t>
  </si>
  <si>
    <t>384 nhật tảo phường diên hồng</t>
  </si>
  <si>
    <t>HD038794</t>
  </si>
  <si>
    <t>at 25-07</t>
  </si>
  <si>
    <t>PHƯƠNG LY</t>
  </si>
  <si>
    <t>1002 tạ quan bữu p6</t>
  </si>
  <si>
    <t>AT 27-07</t>
  </si>
  <si>
    <t>27-07-2026</t>
  </si>
  <si>
    <t>THANAPORN5015</t>
  </si>
  <si>
    <t>HD039107</t>
  </si>
  <si>
    <t>275/14B1 Đăng Nguyên Cẩn, Phường Phú Lâm</t>
  </si>
  <si>
    <t>HD039257</t>
  </si>
  <si>
    <t>HD039278</t>
  </si>
  <si>
    <t>số 25a đương 22 bình hưng hòa a</t>
  </si>
  <si>
    <t>Suc Vảy</t>
  </si>
  <si>
    <t>HD039079</t>
  </si>
  <si>
    <t>338/24 âu cơ p10</t>
  </si>
  <si>
    <t>Nicole Trieu</t>
  </si>
  <si>
    <t>HD039121</t>
  </si>
  <si>
    <t>Dương Hoang Yen</t>
  </si>
  <si>
    <t>HD039098</t>
  </si>
  <si>
    <t>15 duong 26 f10</t>
  </si>
  <si>
    <t>Tuyen Huynh fb Quoc Anh</t>
  </si>
  <si>
    <t>HD039272</t>
  </si>
  <si>
    <t>185/9 nguyễn suy tân quý</t>
  </si>
  <si>
    <t>Diễm Hằng</t>
  </si>
  <si>
    <t>HD038896</t>
  </si>
  <si>
    <t>62/36 Trương Công Định, P.14</t>
  </si>
  <si>
    <t>Kim Thủy</t>
  </si>
  <si>
    <t>HD038898</t>
  </si>
  <si>
    <t>532/3/6 kinh dương vương phường an lạc</t>
  </si>
  <si>
    <t>Hương Quỳnh (Nhượng)</t>
  </si>
  <si>
    <t>HD039246</t>
  </si>
  <si>
    <t>15/13 Lê Văn Huân, P13</t>
  </si>
  <si>
    <t>Nhật Lệ</t>
  </si>
  <si>
    <t>HD039029</t>
  </si>
  <si>
    <t>Block D, chung cư him lam phú an, 39 thuỷ lợi, phường phước long A</t>
  </si>
  <si>
    <t>Mỹ linh</t>
  </si>
  <si>
    <t>HD038864</t>
  </si>
  <si>
    <t>559/5C Vườn Lài, An Phú Đông</t>
  </si>
  <si>
    <t>Mơ Mơ</t>
  </si>
  <si>
    <t>HD039018</t>
  </si>
  <si>
    <t>5/2/1 đường 27 hiệp bình chánh</t>
  </si>
  <si>
    <t>Trà My</t>
  </si>
  <si>
    <t>HD039031</t>
  </si>
  <si>
    <t>Masteri centre point toà c, phường long bình</t>
  </si>
  <si>
    <t>Bùi Thị Kim Hương</t>
  </si>
  <si>
    <t>HD038871</t>
  </si>
  <si>
    <t>208 Nguyen huu canh, p22</t>
  </si>
  <si>
    <t>Dương Hằng</t>
  </si>
  <si>
    <t>HD039267</t>
  </si>
  <si>
    <t>Lk7-39 khu biệt thự sài gòn mystery phường Bình trưng Tây</t>
  </si>
  <si>
    <t>HD039032</t>
  </si>
  <si>
    <t>208 nguyễn hữu cảnh phường 22 chung cư vinhometoà lanmark 5</t>
  </si>
  <si>
    <t>HD039254</t>
  </si>
  <si>
    <t>Lan Phương</t>
  </si>
  <si>
    <t>HD039139</t>
  </si>
  <si>
    <t>7/35B1 đường 385 tăng Nhơn Phú</t>
  </si>
  <si>
    <t>Nhy Lê</t>
  </si>
  <si>
    <t>HD038890</t>
  </si>
  <si>
    <t>42 nguyễn sơn hà f5</t>
  </si>
  <si>
    <t>Phan Quỳnh Thi</t>
  </si>
  <si>
    <t>HD039206</t>
  </si>
  <si>
    <t>32 dường số 7 kdc trung sơn bình hưng</t>
  </si>
  <si>
    <t>Nguyễn Thị Ngọc Tuyền</t>
  </si>
  <si>
    <t>HD038985</t>
  </si>
  <si>
    <t>287/62/3 âu dương lên phường 2</t>
  </si>
  <si>
    <t>HD039009</t>
  </si>
  <si>
    <t>551K Hồng Lĩnh, phường Hòa Hưng</t>
  </si>
  <si>
    <t>HD039011</t>
  </si>
  <si>
    <t>at 27-07</t>
  </si>
  <si>
    <t>Ms.Kelly (Website)</t>
  </si>
  <si>
    <t>HD039184</t>
  </si>
  <si>
    <t>số 13 phạm thể hiển phường chánh hưng</t>
  </si>
  <si>
    <t>AT 28-07</t>
  </si>
  <si>
    <t>28-07-2026</t>
  </si>
  <si>
    <t>HD039433</t>
  </si>
  <si>
    <t>Vy Vy (website)</t>
  </si>
  <si>
    <t>HD039521</t>
  </si>
  <si>
    <t>124 Liên Tỉnh 5, phường Bình Đông (p.6 cũ)</t>
  </si>
  <si>
    <t>HD039535</t>
  </si>
  <si>
    <t>101/20 đường số 9 phường bình hưng hòa</t>
  </si>
  <si>
    <t>Khánh Vi</t>
  </si>
  <si>
    <t>HD039349</t>
  </si>
  <si>
    <t>55 nguyễn xí phường bình thạnh</t>
  </si>
  <si>
    <t>Nguyễn Thị Thu Tâm</t>
  </si>
  <si>
    <t>HD039357</t>
  </si>
  <si>
    <t>58 Đường 109, Phước Long B</t>
  </si>
  <si>
    <t>kh ck shop 3000k</t>
  </si>
  <si>
    <t>Phuong Thanh</t>
  </si>
  <si>
    <t>HD039352</t>
  </si>
  <si>
    <t>Tòa nhà Sofic, 10 Mai Chí Thọ</t>
  </si>
  <si>
    <t>Bé Sarah</t>
  </si>
  <si>
    <t>HD039512</t>
  </si>
  <si>
    <t>Vinhome grand park toà gh2</t>
  </si>
  <si>
    <t>Nguyễn Thị Yến Linh</t>
  </si>
  <si>
    <t>HD039495</t>
  </si>
  <si>
    <t>61a chương dương, linh chiểu</t>
  </si>
  <si>
    <t>Write code (W24130 Labelle)</t>
  </si>
  <si>
    <t>HD039424</t>
  </si>
  <si>
    <t>HD038476</t>
  </si>
  <si>
    <t>Kawalin</t>
  </si>
  <si>
    <t>HD039510</t>
  </si>
  <si>
    <t>Thu Thiem Zeit River tower 1 number T1.08.03, Floor 08, Thu thiem</t>
  </si>
  <si>
    <t>Phnom Penh</t>
  </si>
  <si>
    <t>Gửi qua xe Khải Nam 363 Đường Hùng vương P.9</t>
  </si>
  <si>
    <t>HD039523</t>
  </si>
  <si>
    <t>46 lê hồng phong, chợ quán cũ</t>
  </si>
  <si>
    <t>HD039279</t>
  </si>
  <si>
    <t>Bian/Febiana NHK</t>
  </si>
  <si>
    <t>Kin Hotel, 36-38 Thái Văn Lung, P. Sài Gòn</t>
  </si>
  <si>
    <t>HD039525</t>
  </si>
  <si>
    <t>Lê Thị Tuyết Hoa</t>
  </si>
  <si>
    <t>HD039039</t>
  </si>
  <si>
    <t>449/15 Sư Vạn Hạnh P12</t>
  </si>
  <si>
    <t>Linh bui</t>
  </si>
  <si>
    <t>HD039513</t>
  </si>
  <si>
    <t>Bluesky Serviced Apartment Airport Plaza 01 Đường Bạch Đằng B, Tân Sơn</t>
  </si>
  <si>
    <t>Chell Zin Naing</t>
  </si>
  <si>
    <t>HD039466</t>
  </si>
  <si>
    <t>791/21/2/20Đ. Trần Xuân Soạn, Tân Hưng</t>
  </si>
  <si>
    <t>Lizona Im</t>
  </si>
  <si>
    <t>HD039517</t>
  </si>
  <si>
    <t>NHÀ XE KHẢI NAM</t>
  </si>
  <si>
    <t>San San</t>
  </si>
  <si>
    <t>HD039355</t>
  </si>
  <si>
    <t>357/3 Trần Phú, Phường 8</t>
  </si>
  <si>
    <t>Thy Thảo</t>
  </si>
  <si>
    <t>HD039383</t>
  </si>
  <si>
    <t>16/2C Đinh Tiên Hoàng Dakao</t>
  </si>
  <si>
    <t>HD039459</t>
  </si>
  <si>
    <t>33 nguyễn hữu thọ, sunrise cityview sảnh A căn hộ phường Tân Hưng</t>
  </si>
  <si>
    <t>Nguyễn Thị Nhung Thành Nguyễn đình chiến</t>
  </si>
  <si>
    <t>HD039387</t>
  </si>
  <si>
    <t>320/14 nguyễn văn linh phường bình thuận</t>
  </si>
  <si>
    <t>Búp Bê</t>
  </si>
  <si>
    <t>HD039538</t>
  </si>
  <si>
    <t>chung cư hoàng anh gia lai 2 phường tân hưng</t>
  </si>
  <si>
    <t>chị lan</t>
  </si>
  <si>
    <t>HD039300</t>
  </si>
  <si>
    <t>285/100 Cách Mạng Tháng 8, P. 12 (Tiệm nail24h tầng trệt-Spa ở lầu 1, lầu 2)</t>
  </si>
  <si>
    <t>Tran Vi</t>
  </si>
  <si>
    <t>HD039346</t>
  </si>
  <si>
    <t>57a đường 18 p4</t>
  </si>
  <si>
    <t>HD039543</t>
  </si>
  <si>
    <t>12/65 nguyễn khoái</t>
  </si>
  <si>
    <t>at 28-07</t>
  </si>
  <si>
    <t>AT 29-07</t>
  </si>
  <si>
    <t>29-07-2026</t>
  </si>
  <si>
    <t>HD039579</t>
  </si>
  <si>
    <t>Trần Bảo Hân (inst tranbaohan17)</t>
  </si>
  <si>
    <t>HD039865</t>
  </si>
  <si>
    <t>E4/250 đường Nguyễn Hữu Trí, khu phố 12, thị trấn Tân Túc</t>
  </si>
  <si>
    <t>HD039786</t>
  </si>
  <si>
    <t>HD039872</t>
  </si>
  <si>
    <t>Đa Đa</t>
  </si>
  <si>
    <t>HD039845</t>
  </si>
  <si>
    <t>151 thành công p tân thành</t>
  </si>
  <si>
    <t>HD039816</t>
  </si>
  <si>
    <t>HD039655</t>
  </si>
  <si>
    <t>Nhà trọ My Home 2 - 319/24- Đường An Phú Đông 10, QL1A, phường An Phú Đông</t>
  </si>
  <si>
    <t>Nguyên Trần</t>
  </si>
  <si>
    <t>HD039603</t>
  </si>
  <si>
    <t>139/49 nguyễn văn lượng, p10</t>
  </si>
  <si>
    <t>Quỳnh Nhi</t>
  </si>
  <si>
    <t>HD039569</t>
  </si>
  <si>
    <t>180/17 QL1A Tân Phú</t>
  </si>
  <si>
    <t>HD039887</t>
  </si>
  <si>
    <t>HD039868</t>
  </si>
  <si>
    <t>30/20a nguyễn văn dung phường 6</t>
  </si>
  <si>
    <t>HD039690</t>
  </si>
  <si>
    <t>nhaThe Sun Avenue (tòa S5) 28 Mai Chí Thọ, An Phú</t>
  </si>
  <si>
    <t>Ivy Dao</t>
  </si>
  <si>
    <t>HD039747</t>
  </si>
  <si>
    <t>238/3 trường chinh, đông hưng thuận</t>
  </si>
  <si>
    <t>chị nguyên</t>
  </si>
  <si>
    <t>HDO1785229483137_472532</t>
  </si>
  <si>
    <t>258r Dương Quảng Hàm P5</t>
  </si>
  <si>
    <t>Thanh Thao Nguyen</t>
  </si>
  <si>
    <t>HD039861</t>
  </si>
  <si>
    <t>54 hồ văn tư phường trường thọ</t>
  </si>
  <si>
    <t>HD039652</t>
  </si>
  <si>
    <t>HD039682</t>
  </si>
  <si>
    <t>Minea</t>
  </si>
  <si>
    <t>Hồng Trúc</t>
  </si>
  <si>
    <t>HD039833</t>
  </si>
  <si>
    <t xml:space="preserve">12 tân trảo phường tân phú </t>
  </si>
  <si>
    <t>Havy Vo</t>
  </si>
  <si>
    <t>HD039694</t>
  </si>
  <si>
    <t>Zenity Apartment, 608 Võ Văn Kiệt Street, Cầu Ông Lãnh Ward</t>
  </si>
  <si>
    <t>Lê Thơ</t>
  </si>
  <si>
    <t>HD039793</t>
  </si>
  <si>
    <t>793/58/5 trần xuân soạn</t>
  </si>
  <si>
    <t>Thương Thương TÚI GIẤY</t>
  </si>
  <si>
    <t>HD039602</t>
  </si>
  <si>
    <t>Sean Sophaline (CUS44348)</t>
  </si>
  <si>
    <t>HD039886</t>
  </si>
  <si>
    <t>270B, Lý Thường Kiệt, Khu Phố 1, Phường 6</t>
  </si>
  <si>
    <t>Chị Nữ (Be Heo)</t>
  </si>
  <si>
    <t>HD039892</t>
  </si>
  <si>
    <t>Số 55 trần văn quang bảy hiền</t>
  </si>
  <si>
    <t>at 29-07</t>
  </si>
  <si>
    <t>HD039949</t>
  </si>
  <si>
    <t>980/4b lo gồm p8</t>
  </si>
  <si>
    <t>AT 30-07</t>
  </si>
  <si>
    <t>30-07-2026</t>
  </si>
  <si>
    <t>Võ Mỹ Hương</t>
  </si>
  <si>
    <t>HD039967</t>
  </si>
  <si>
    <t>B19/399 Trần Đại Nghĩa, tân nhựt</t>
  </si>
  <si>
    <t>HD040152</t>
  </si>
  <si>
    <t>My Nhung Ly</t>
  </si>
  <si>
    <t>HD040114</t>
  </si>
  <si>
    <t>số 13 đường số 9, P13</t>
  </si>
  <si>
    <t>Thơ Võ</t>
  </si>
  <si>
    <t>HD040054</t>
  </si>
  <si>
    <t>258 đường 19 p.an lạc</t>
  </si>
  <si>
    <t>Mỡ Mỡ</t>
  </si>
  <si>
    <t>HD039976</t>
  </si>
  <si>
    <t>51/50, Đường số 18B, Phường Bình Hưng Hoà A</t>
  </si>
  <si>
    <t>HSM Sophana Kong (insta sophana.k)</t>
  </si>
  <si>
    <t>HD039979</t>
  </si>
  <si>
    <t>177C đường số 1 , Bình Hưng Hòa B</t>
  </si>
  <si>
    <t>Quỳnh</t>
  </si>
  <si>
    <t>HD040201</t>
  </si>
  <si>
    <t>Chung cư De Capella, 116 Lương Định Của, phường An Khánh</t>
  </si>
  <si>
    <t>W24130 Labelle</t>
  </si>
  <si>
    <t>HD040221</t>
  </si>
  <si>
    <t>HD040214</t>
  </si>
  <si>
    <t>208 Nguyen Huu Canh, p22</t>
  </si>
  <si>
    <t>Nguyễn Thị Diễm Trang</t>
  </si>
  <si>
    <t>HD040022</t>
  </si>
  <si>
    <t>Chung cư lavita charm block b 58 số 1 trường thọ</t>
  </si>
  <si>
    <t>Nguyễn Đình Diệu Ngữ</t>
  </si>
  <si>
    <t>HD040182</t>
  </si>
  <si>
    <t>59/14 đường số 9 ( cư xá vườn dâu), p Linh Chiểu</t>
  </si>
  <si>
    <t>Hồng Vy</t>
  </si>
  <si>
    <t>HD039990</t>
  </si>
  <si>
    <t>Park 5, Trần Trọng Kim, Vinhomes Tân Cảng, Thạnh Mỹ Tây</t>
  </si>
  <si>
    <t>Thúy Trương</t>
  </si>
  <si>
    <t>HD040200</t>
  </si>
  <si>
    <t>Lô a3 chung cư thạnh mỹ lợi p. cát lái</t>
  </si>
  <si>
    <t>NGƯỜI NHẬN: xiao yan</t>
  </si>
  <si>
    <t>HD040038</t>
  </si>
  <si>
    <t>22, ĐƯỜNG TÂN THỚI NHẤT 1B, PHƯỜNG ĐÔNG HƯN THUẬN</t>
  </si>
  <si>
    <t>Đặng Hoàng Tâm Như</t>
  </si>
  <si>
    <t>HD040115</t>
  </si>
  <si>
    <t>Toà Opal, 92 Nguyễn Hữu Cảnh</t>
  </si>
  <si>
    <t>HD040177</t>
  </si>
  <si>
    <t>366 Nguyễn thị kiểu Phường Tân Thới Hiệp</t>
  </si>
  <si>
    <t>Trương Quỳnh Như</t>
  </si>
  <si>
    <t>HD040121</t>
  </si>
  <si>
    <t>29 Nguyễn Ngọc phương, phường Thạnh Mỹ Tây</t>
  </si>
  <si>
    <t>C Hương</t>
  </si>
  <si>
    <t>HD040096</t>
  </si>
  <si>
    <t>CC Saigon Pearl, 92 Nguyễn Hữu Cảnh,khu phố 38, Phường Thạnh Mỹ Tây, Tòa Topaz 2</t>
  </si>
  <si>
    <t>713 phan huy ích phường tân sơn</t>
  </si>
  <si>
    <t>Lê Thảo - Kosalim</t>
  </si>
  <si>
    <t>HD040067</t>
  </si>
  <si>
    <t>Đỗ Thị Hoa</t>
  </si>
  <si>
    <t>HD040028</t>
  </si>
  <si>
    <t>355 ngô gia tự p vườn lài</t>
  </si>
  <si>
    <t>DINA (YAYANG) / MARLIN</t>
  </si>
  <si>
    <t>HD040180</t>
  </si>
  <si>
    <t>Hostel 1 - 399/43/5 Nguyễn Đình Chiểu, Phường 5</t>
  </si>
  <si>
    <t>Nguyễn Thị Nhung</t>
  </si>
  <si>
    <t>HD040199</t>
  </si>
  <si>
    <t>Chung cư ecogreen 39B Đường Nguyễn Văn Linh</t>
  </si>
  <si>
    <t>Quỳnh Giao</t>
  </si>
  <si>
    <t>HD040098</t>
  </si>
  <si>
    <t>260A Võ Văn Tần, Bàn Cờ</t>
  </si>
  <si>
    <t>Di Đỗ</t>
  </si>
  <si>
    <t>HD039951</t>
  </si>
  <si>
    <t>115 phan huy thuc ptan hung</t>
  </si>
  <si>
    <t>Trần Khả Nhi</t>
  </si>
  <si>
    <t>HD039858</t>
  </si>
  <si>
    <t>287/22 âu dương lân phường chánh hưng</t>
  </si>
  <si>
    <t>Thảo Trang</t>
  </si>
  <si>
    <t>HD040172</t>
  </si>
  <si>
    <t>221 võ văn tần, bàn cờ</t>
  </si>
  <si>
    <t>HD039953</t>
  </si>
  <si>
    <t>153 duong nguyễn hữu thọ Toa t1</t>
  </si>
  <si>
    <t>Lê Thuỳ Linh</t>
  </si>
  <si>
    <t>HD040116</t>
  </si>
  <si>
    <t>474/6 trần hưng đạo chợ quán</t>
  </si>
  <si>
    <t>NGUYỄN THỊ DIỄM CHI - Luck Luck</t>
  </si>
  <si>
    <t>29/7 Yên Thế, Phường 2</t>
  </si>
  <si>
    <t>12 TON DAN P13</t>
  </si>
  <si>
    <t>HD039805</t>
  </si>
  <si>
    <t>at 30-07</t>
  </si>
  <si>
    <t>AT 31-07</t>
  </si>
  <si>
    <t>31-07-2026</t>
  </si>
  <si>
    <t>at 31-07</t>
  </si>
  <si>
    <t>Chị Yến</t>
  </si>
  <si>
    <t>C15.4 Chung cư Phú Mỹ (ấp 39 cũ, ấp 10 mới)</t>
  </si>
  <si>
    <t>Hoàng Bảo Ngọc</t>
  </si>
  <si>
    <t>11/39 Nguyễn Văn Mại, p4</t>
  </si>
  <si>
    <t>Minh Hai (Zalo: Shirley Woo)</t>
  </si>
  <si>
    <t>MINZZY</t>
  </si>
  <si>
    <t>XE TOÀN THẮNG VỀ CÀ PHÊ PHONG LONG THÀNH ĐỒNG NAI</t>
  </si>
  <si>
    <t>Hân</t>
  </si>
  <si>
    <t>HD040354</t>
  </si>
  <si>
    <t>72 Trương Định P Bến Thành</t>
  </si>
  <si>
    <t>1</t>
  </si>
  <si>
    <t>Trần Mai</t>
  </si>
  <si>
    <t>HD040300</t>
  </si>
  <si>
    <t>163 vạn kiếp, p1</t>
  </si>
  <si>
    <t>Huỳnh Thư Lê</t>
  </si>
  <si>
    <t>HD040464</t>
  </si>
  <si>
    <t>91/38 Đường 8, Linh Trung</t>
  </si>
  <si>
    <t>Meow Service - [MS0419]</t>
  </si>
  <si>
    <t>HD040496</t>
  </si>
  <si>
    <t>Ngõ 72 đường 18B, phường Bình Hưng Hoà A</t>
  </si>
  <si>
    <t>Nguyễn Thùy Linh</t>
  </si>
  <si>
    <t>HD040329</t>
  </si>
  <si>
    <t>88/71A pham hung p9</t>
  </si>
  <si>
    <t>8</t>
  </si>
  <si>
    <t>Huyen Thanh Vo</t>
  </si>
  <si>
    <t>HD040498</t>
  </si>
  <si>
    <t>125/61 Nguyễn Văn Thương, Thạnh Mỹ Tây</t>
  </si>
  <si>
    <t>Milô (zalo)</t>
  </si>
  <si>
    <t>HD040500</t>
  </si>
  <si>
    <t>Park 7 Vinhome Central, Đường Nguyễn Hữu Cảnh, Phường 22</t>
  </si>
  <si>
    <t>Thitiporn paptawan (som)</t>
  </si>
  <si>
    <t>HD040386</t>
  </si>
  <si>
    <t>403 Tân Sơn, p12</t>
  </si>
  <si>
    <t>Vân Nguyễn</t>
  </si>
  <si>
    <t>HD040502</t>
  </si>
  <si>
    <t>116f nguyen dinh chieu</t>
  </si>
  <si>
    <t>Triều Tiênn</t>
  </si>
  <si>
    <t>HD040468</t>
  </si>
  <si>
    <t>344 lê thị riêng phường thới an (cty may vsp)</t>
  </si>
  <si>
    <t>12</t>
  </si>
  <si>
    <t>HD040519</t>
  </si>
  <si>
    <t>2</t>
  </si>
  <si>
    <t>(Inst-sth3a)</t>
  </si>
  <si>
    <t>HD040355</t>
  </si>
  <si>
    <t>1 Khai Nam bus transportation, 363 hùng vương, An Đông</t>
  </si>
  <si>
    <t>5</t>
  </si>
  <si>
    <t>Quế Chi Chi</t>
  </si>
  <si>
    <t>HD040518</t>
  </si>
  <si>
    <t>212b/d91 Nguyễn Trãi</t>
  </si>
  <si>
    <t>BN2510</t>
  </si>
  <si>
    <t>HD040168</t>
  </si>
  <si>
    <t>Ngoc Nhi</t>
  </si>
  <si>
    <t>HD040297</t>
  </si>
  <si>
    <t>Chung cư tara 1A tạ quang bửu p6</t>
  </si>
  <si>
    <t>Trần Diễm My</t>
  </si>
  <si>
    <t>HD040294</t>
  </si>
  <si>
    <t>100 đường số 53 phường tân hưng</t>
  </si>
  <si>
    <t>7</t>
  </si>
  <si>
    <t>lễ xuân hiền (NG MO)</t>
  </si>
  <si>
    <t>HD040373</t>
  </si>
  <si>
    <t>565/30B1 Đường An Dương Vương, Khu Phố 6, Phường An Lạc A</t>
  </si>
  <si>
    <t>HD040102</t>
  </si>
  <si>
    <t>Toà s703 vinhome grand park nguyễn xiển phường long bình</t>
  </si>
  <si>
    <t>9</t>
  </si>
  <si>
    <t>Dương Triệu Mẫn</t>
  </si>
  <si>
    <t>HD040506</t>
  </si>
  <si>
    <t>730/126 lê đức thọ</t>
  </si>
  <si>
    <t>Thuy Duong Vo</t>
  </si>
  <si>
    <t>HD040320</t>
  </si>
  <si>
    <t>242 nguyên công trụ</t>
  </si>
  <si>
    <t>Lê Hạ Vi</t>
  </si>
  <si>
    <t>HD040301</t>
  </si>
  <si>
    <t>60 Nguyễn Đình Chiểu, P. Tân Định</t>
  </si>
  <si>
    <t>HD040452</t>
  </si>
  <si>
    <t>HD040389</t>
  </si>
  <si>
    <t>Chung cư ecogree 398 Đường Nguyễn Văn Linh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</si>
</sst>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"/>
  </numFmts>
  <fonts count="6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D3D3D3"/>
      </patternFill>
    </fill>
    <fill>
      <patternFill patternType="solid">
        <fgColor rgb="FFFFFFE0"/>
      </patternFill>
    </fill>
    <fill>
      <patternFill patternType="solid">
        <fgColor rgb="FFB0C4DE"/>
      </patternFill>
    </fill>
    <fill>
      <patternFill patternType="solid">
        <fgColor rgb="FFFFC87C"/>
      </patternFill>
    </fill>
    <fill>
      <patternFill patternType="solid">
        <fgColor rgb="FFADD8E6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 applyBorder="0"/>
    <xf numFmtId="0" fontId="2" fillId="0" borderId="0"/>
  </cellStyleXfs>
  <cellXfs count="37">
    <xf numFmtId="0" fontId="0" fillId="0" borderId="0" xfId="0"/>
    <xf numFmtId="0" fontId="4" fillId="5" borderId="0" xfId="0" applyFont="1" applyFill="1"/>
    <xf numFmtId="0" fontId="5" fillId="0" borderId="0" xfId="0" applyFont="1"/>
    <xf numFmtId="0" fontId="0" fillId="5" borderId="0" xfId="0" applyFill="1"/>
    <xf numFmtId="0" fontId="4" fillId="0" borderId="0" xfId="0" applyFont="1"/>
    <xf numFmtId="0" fontId="1" fillId="0" borderId="0" xfId="1" applyFont="1"/>
    <xf numFmtId="0" fontId="1" fillId="2" borderId="1" xfId="0" applyFont="1" applyFill="1" applyBorder="1"/>
    <xf numFmtId="164" fontId="1" fillId="0" borderId="1" xfId="0" applyNumberFormat="1" applyFont="1" applyBorder="1"/>
    <xf numFmtId="0" fontId="1" fillId="0" borderId="1" xfId="0" applyFont="1" applyBorder="1"/>
    <xf numFmtId="0" fontId="1" fillId="3" borderId="0" xfId="0" applyFont="1" applyFill="1"/>
    <xf numFmtId="3" fontId="0" fillId="0" borderId="0" xfId="0" applyNumberFormat="1"/>
    <xf numFmtId="0" fontId="4" fillId="6" borderId="0" xfId="0" applyFont="1" applyFill="1"/>
    <xf numFmtId="0" fontId="5" fillId="0" borderId="0" xfId="0" applyFont="1" applyAlignment="1">
      <alignment horizontal="left"/>
    </xf>
    <xf numFmtId="0" fontId="0" fillId="7" borderId="0" xfId="0" applyFill="1"/>
    <xf numFmtId="0" fontId="4" fillId="8" borderId="0" xfId="0" applyFont="1" applyFill="1"/>
    <xf numFmtId="0" fontId="4" fillId="4" borderId="1" xfId="0" applyFont="1" applyFill="1" applyBorder="1"/>
    <xf numFmtId="0" fontId="0" fillId="0" borderId="1" xfId="0" applyBorder="1"/>
    <xf numFmtId="3" fontId="0" fillId="0" borderId="1" xfId="0" applyNumberFormat="1" applyBorder="1"/>
    <xf numFmtId="0" fontId="5" fillId="2" borderId="1" xfId="0" applyFont="1" applyFill="1" applyBorder="1"/>
    <xf numFmtId="0" fontId="0" fillId="9" borderId="1" xfId="0" applyFill="1" applyBorder="1"/>
    <xf numFmtId="3" fontId="0" fillId="9" borderId="1" xfId="0" applyNumberFormat="1" applyFill="1" applyBorder="1"/>
    <xf numFmtId="0" fontId="0" fillId="9" borderId="0" xfId="0" applyFill="1"/>
    <xf numFmtId="3" fontId="0" fillId="9" borderId="0" xfId="0" applyNumberFormat="1" applyFill="1"/>
    <xf numFmtId="0" fontId="5" fillId="0" borderId="1" xfId="0" applyFont="1" applyBorder="1"/>
    <xf numFmtId="3" fontId="5" fillId="0" borderId="1" xfId="0" applyNumberFormat="1" applyFont="1" applyBorder="1"/>
    <xf numFmtId="0" fontId="5" fillId="0" borderId="0" xfId="0" applyFont="1" applyAlignment="1">
      <alignment horizontal="right"/>
    </xf>
    <xf numFmtId="49" fontId="5" fillId="0" borderId="1" xfId="0" applyNumberFormat="1" applyFont="1" applyBorder="1"/>
    <xf numFmtId="0" fontId="5" fillId="2" borderId="0" xfId="0" applyFont="1" applyFill="1"/>
    <xf numFmtId="0" fontId="0" fillId="10" borderId="0" xfId="0" applyFill="1"/>
    <xf numFmtId="0" fontId="0" fillId="10" borderId="1" xfId="0" applyFill="1" applyBorder="1"/>
    <xf numFmtId="49" fontId="0" fillId="10" borderId="1" xfId="0" applyNumberFormat="1" applyFill="1" applyBorder="1"/>
    <xf numFmtId="49" fontId="0" fillId="9" borderId="1" xfId="0" applyNumberFormat="1" applyFill="1" applyBorder="1"/>
    <xf numFmtId="0" fontId="0" fillId="0" borderId="0" xfId="0"/>
    <xf numFmtId="0" fontId="4" fillId="5" borderId="0" xfId="0" applyFont="1" applyFill="1"/>
    <xf numFmtId="0" fontId="4" fillId="0" borderId="0" xfId="0" applyFont="1"/>
    <xf numFmtId="0" fontId="0" fillId="5" borderId="0" xfId="0" applyFill="1"/>
    <xf numFmtId="0" fontId="5" fillId="0" borderId="0" xfId="0" applyFont="1"/>
  </cellXfs>
  <cellStyles count="2">
    <cellStyle name="Normal" xfId="0" builtinId="0"/>
    <cellStyle name="Normal 2" xfId="1" xr:uid="{DB72F213-3AF7-4618-B5B3-4068D3F972D7}"/>
  </cellStyles>
  <dxfs count="1">
    <dxf>
      <fill>
        <patternFill patternType="solid">
          <fgColor auto="1"/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9B982-EAEB-4F31-86BF-4D059AFDEA27}">
  <sheetPr>
    <tabColor rgb="FF0070C0"/>
  </sheetPr>
  <dimension ref="A1:E33"/>
  <sheetViews>
    <sheetView tabSelected="1" workbookViewId="0">
      <selection activeCell="K31" sqref="K31"/>
    </sheetView>
  </sheetViews>
  <sheetFormatPr defaultColWidth="9.140625" defaultRowHeight="15" x14ac:dyDescent="0.25"/>
  <cols>
    <col min="1" max="1" width="9.42578125" style="5" bestFit="1" customWidth="1"/>
    <col min="2" max="2" width="10.85546875" style="5" bestFit="1" customWidth="1"/>
    <col min="3" max="3" width="9.42578125" style="5" bestFit="1" customWidth="1"/>
    <col min="4" max="4" width="17.5703125" style="5" bestFit="1" customWidth="1"/>
    <col min="5" max="5" width="15.85546875" style="5" bestFit="1" customWidth="1"/>
    <col min="6" max="6" width="9.140625" style="5" customWidth="1"/>
    <col min="7" max="16384" width="9.140625" style="5"/>
  </cols>
  <sheetData>
    <row r="1" spans="1:5" x14ac:dyDescent="0.25">
      <c r="A1" s="5" t="s">
        <v>0</v>
      </c>
      <c r="B1" s="5">
        <v>2026</v>
      </c>
    </row>
    <row r="2" spans="1:5" x14ac:dyDescent="0.25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</row>
    <row r="3" spans="1:5" x14ac:dyDescent="0.25">
      <c r="A3" s="7">
        <v>46204</v>
      </c>
      <c r="B3" s="8">
        <f ca="1">IFERROR(COUNTIF(INDIRECT("'"&amp;TEXT(A3,"dd-mm")&amp;"'!L3:L200"),TEXT(A3,"dd-mm")&amp;"-"&amp;B$1),0)</f>
        <v>34</v>
      </c>
      <c r="C3" s="8">
        <f ca="1">IFERROR(COUNTIF(INDIRECT("'"&amp;TEXT(A3,"DD-MM")&amp;"'!M3:M200"),"*gộp*")/2,0)</f>
        <v>0</v>
      </c>
      <c r="D3" s="8" cm="1">
        <f t="array" ref="D3" ca="1">IFERROR(SUM(COUNTIF(INDIRECT("'"&amp;TEXT(A3,"DD-MM")&amp;"'!M3:M200"),{"*đơn trả*","*hàng tỉnh*"})),0)</f>
        <v>0</v>
      </c>
      <c r="E3" s="8">
        <f t="shared" ref="E3:E29" ca="1" si="0">B3-C3-D3</f>
        <v>34</v>
      </c>
    </row>
    <row r="4" spans="1:5" x14ac:dyDescent="0.25">
      <c r="A4" s="7">
        <v>46205</v>
      </c>
      <c r="B4" s="8">
        <f t="shared" ref="B4:B29" ca="1" si="1">IFERROR(COUNTIF(INDIRECT("'"&amp;TEXT(A4,"dd-mm")&amp;"'!L3:L200"),TEXT(A4,"dd-mm")&amp;"-"&amp;B$1),0)</f>
        <v>34</v>
      </c>
      <c r="C4" s="8">
        <f t="shared" ref="C4:C29" ca="1" si="2">IFERROR(COUNTIF(INDIRECT("'"&amp;TEXT(A4,"DD-MM")&amp;"'!M3:M200"),"*gộp*")/2,0)</f>
        <v>0</v>
      </c>
      <c r="D4" s="8" cm="1">
        <f t="array" aca="1" ref="D4" ca="1">IFERROR(SUM(COUNTIF(INDIRECT("'"&amp;TEXT(A4,"DD-MM")&amp;"'!M3:M200"),{"*đơn trả*","*hàng tỉnh*"})),0)</f>
        <v>0</v>
      </c>
      <c r="E4" s="8">
        <f t="shared" ca="1" si="0"/>
        <v>34</v>
      </c>
    </row>
    <row r="5" spans="1:5" x14ac:dyDescent="0.25">
      <c r="A5" s="7">
        <v>46206</v>
      </c>
      <c r="B5" s="8">
        <f t="shared" ca="1" si="1"/>
        <v>35</v>
      </c>
      <c r="C5" s="8">
        <f t="shared" ca="1" si="2"/>
        <v>1</v>
      </c>
      <c r="D5" s="8" cm="1">
        <f t="array" aca="1" ref="D5" ca="1">IFERROR(SUM(COUNTIF(INDIRECT("'"&amp;TEXT(A5,"DD-MM")&amp;"'!M3:M200"),{"*đơn trả*","*hàng tỉnh*"})),0)</f>
        <v>1</v>
      </c>
      <c r="E5" s="8">
        <f t="shared" ca="1" si="0"/>
        <v>33</v>
      </c>
    </row>
    <row r="6" spans="1:5" x14ac:dyDescent="0.25">
      <c r="A6" s="7">
        <v>46207</v>
      </c>
      <c r="B6" s="8">
        <f t="shared" ca="1" si="1"/>
        <v>28</v>
      </c>
      <c r="C6" s="8">
        <f t="shared" ca="1" si="2"/>
        <v>0</v>
      </c>
      <c r="D6" s="8" cm="1">
        <f t="array" aca="1" ref="D6" ca="1">IFERROR(SUM(COUNTIF(INDIRECT("'"&amp;TEXT(A6,"DD-MM")&amp;"'!M3:M200"),{"*đơn trả*","*hàng tỉnh*"})),0)</f>
        <v>1</v>
      </c>
      <c r="E6" s="8">
        <f t="shared" ca="1" si="0"/>
        <v>27</v>
      </c>
    </row>
    <row r="7" spans="1:5" x14ac:dyDescent="0.25">
      <c r="A7" s="7">
        <v>46209</v>
      </c>
      <c r="B7" s="8">
        <f t="shared" ca="1" si="1"/>
        <v>58</v>
      </c>
      <c r="C7" s="8">
        <f t="shared" ca="1" si="2"/>
        <v>1</v>
      </c>
      <c r="D7" s="8" cm="1">
        <f t="array" aca="1" ref="D7" ca="1">IFERROR(SUM(COUNTIF(INDIRECT("'"&amp;TEXT(A7,"DD-MM")&amp;"'!M3:M200"),{"*đơn trả*","*hàng tỉnh*"})),0)</f>
        <v>1</v>
      </c>
      <c r="E7" s="8">
        <f t="shared" ca="1" si="0"/>
        <v>56</v>
      </c>
    </row>
    <row r="8" spans="1:5" x14ac:dyDescent="0.25">
      <c r="A8" s="7">
        <v>46210</v>
      </c>
      <c r="B8" s="8">
        <f t="shared" ca="1" si="1"/>
        <v>31</v>
      </c>
      <c r="C8" s="8">
        <f t="shared" ca="1" si="2"/>
        <v>0</v>
      </c>
      <c r="D8" s="8" cm="1">
        <f t="array" aca="1" ref="D8" ca="1">IFERROR(SUM(COUNTIF(INDIRECT("'"&amp;TEXT(A8,"DD-MM")&amp;"'!M3:M200"),{"*đơn trả*","*hàng tỉnh*"})),0)</f>
        <v>2</v>
      </c>
      <c r="E8" s="8">
        <f t="shared" ca="1" si="0"/>
        <v>29</v>
      </c>
    </row>
    <row r="9" spans="1:5" x14ac:dyDescent="0.25">
      <c r="A9" s="7">
        <v>46211</v>
      </c>
      <c r="B9" s="8">
        <f t="shared" ca="1" si="1"/>
        <v>38</v>
      </c>
      <c r="C9" s="8">
        <f t="shared" ca="1" si="2"/>
        <v>0</v>
      </c>
      <c r="D9" s="8" cm="1">
        <f t="array" aca="1" ref="D9" ca="1">IFERROR(SUM(COUNTIF(INDIRECT("'"&amp;TEXT(A9,"DD-MM")&amp;"'!M3:M200"),{"*đơn trả*","*hàng tỉnh*"})),0)</f>
        <v>2</v>
      </c>
      <c r="E9" s="8">
        <f t="shared" ca="1" si="0"/>
        <v>36</v>
      </c>
    </row>
    <row r="10" spans="1:5" x14ac:dyDescent="0.25">
      <c r="A10" s="7">
        <v>46212</v>
      </c>
      <c r="B10" s="8">
        <f t="shared" ca="1" si="1"/>
        <v>51</v>
      </c>
      <c r="C10" s="8">
        <f t="shared" ca="1" si="2"/>
        <v>1</v>
      </c>
      <c r="D10" s="8" cm="1">
        <f t="array" aca="1" ref="D10" ca="1">IFERROR(SUM(COUNTIF(INDIRECT("'"&amp;TEXT(A10,"DD-MM")&amp;"'!M3:M200"),{"*đơn trả*","*hàng tỉnh*"})),0)</f>
        <v>1</v>
      </c>
      <c r="E10" s="8">
        <f t="shared" ca="1" si="0"/>
        <v>49</v>
      </c>
    </row>
    <row r="11" spans="1:5" x14ac:dyDescent="0.25">
      <c r="A11" s="7">
        <v>46213</v>
      </c>
      <c r="B11" s="8">
        <f t="shared" ca="1" si="1"/>
        <v>24</v>
      </c>
      <c r="C11" s="8">
        <f t="shared" ca="1" si="2"/>
        <v>0</v>
      </c>
      <c r="D11" s="8" cm="1">
        <f t="array" aca="1" ref="D11" ca="1">IFERROR(SUM(COUNTIF(INDIRECT("'"&amp;TEXT(A11,"DD-MM")&amp;"'!M3:M200"),{"*đơn trả*","*hàng tỉnh*"})),0)</f>
        <v>0</v>
      </c>
      <c r="E11" s="8">
        <f t="shared" ca="1" si="0"/>
        <v>24</v>
      </c>
    </row>
    <row r="12" spans="1:5" x14ac:dyDescent="0.25">
      <c r="A12" s="7">
        <v>46214</v>
      </c>
      <c r="B12" s="8">
        <f t="shared" ca="1" si="1"/>
        <v>25</v>
      </c>
      <c r="C12" s="8">
        <f t="shared" ca="1" si="2"/>
        <v>0</v>
      </c>
      <c r="D12" s="8" cm="1">
        <f t="array" aca="1" ref="D12" ca="1">IFERROR(SUM(COUNTIF(INDIRECT("'"&amp;TEXT(A12,"DD-MM")&amp;"'!M3:M200"),{"*đơn trả*","*hàng tỉnh*"})),0)</f>
        <v>2</v>
      </c>
      <c r="E12" s="8">
        <f t="shared" ca="1" si="0"/>
        <v>23</v>
      </c>
    </row>
    <row r="13" spans="1:5" x14ac:dyDescent="0.25">
      <c r="A13" s="7">
        <v>46216</v>
      </c>
      <c r="B13" s="8">
        <f t="shared" ca="1" si="1"/>
        <v>33</v>
      </c>
      <c r="C13" s="8">
        <f t="shared" ca="1" si="2"/>
        <v>0</v>
      </c>
      <c r="D13" s="8" cm="1">
        <f t="array" aca="1" ref="D13" ca="1">IFERROR(SUM(COUNTIF(INDIRECT("'"&amp;TEXT(A13,"DD-MM")&amp;"'!M3:M200"),{"*đơn trả*","*hàng tỉnh*"})),0)</f>
        <v>0</v>
      </c>
      <c r="E13" s="8">
        <f t="shared" ca="1" si="0"/>
        <v>33</v>
      </c>
    </row>
    <row r="14" spans="1:5" x14ac:dyDescent="0.25">
      <c r="A14" s="7">
        <v>46217</v>
      </c>
      <c r="B14" s="8">
        <f t="shared" ca="1" si="1"/>
        <v>25</v>
      </c>
      <c r="C14" s="8">
        <f t="shared" ca="1" si="2"/>
        <v>0</v>
      </c>
      <c r="D14" s="8" cm="1">
        <f t="array" aca="1" ref="D14" ca="1">IFERROR(SUM(COUNTIF(INDIRECT("'"&amp;TEXT(A14,"DD-MM")&amp;"'!M3:M200"),{"*đơn trả*","*hàng tỉnh*"})),0)</f>
        <v>0</v>
      </c>
      <c r="E14" s="8">
        <f t="shared" ca="1" si="0"/>
        <v>25</v>
      </c>
    </row>
    <row r="15" spans="1:5" x14ac:dyDescent="0.25">
      <c r="A15" s="7">
        <v>46218</v>
      </c>
      <c r="B15" s="8">
        <f t="shared" ca="1" si="1"/>
        <v>22</v>
      </c>
      <c r="C15" s="8">
        <f t="shared" ca="1" si="2"/>
        <v>0</v>
      </c>
      <c r="D15" s="8" cm="1">
        <f t="array" aca="1" ref="D15" ca="1">IFERROR(SUM(COUNTIF(INDIRECT("'"&amp;TEXT(A15,"DD-MM")&amp;"'!M3:M200"),{"*đơn trả*","*hàng tỉnh*"})),0)</f>
        <v>0</v>
      </c>
      <c r="E15" s="8">
        <f t="shared" ca="1" si="0"/>
        <v>22</v>
      </c>
    </row>
    <row r="16" spans="1:5" x14ac:dyDescent="0.25">
      <c r="A16" s="7">
        <v>46219</v>
      </c>
      <c r="B16" s="8">
        <f t="shared" ca="1" si="1"/>
        <v>34</v>
      </c>
      <c r="C16" s="8">
        <f t="shared" ca="1" si="2"/>
        <v>1</v>
      </c>
      <c r="D16" s="8" cm="1">
        <f t="array" aca="1" ref="D16" ca="1">IFERROR(SUM(COUNTIF(INDIRECT("'"&amp;TEXT(A16,"DD-MM")&amp;"'!M3:M200"),{"*đơn trả*","*hàng tỉnh*"})),0)</f>
        <v>2</v>
      </c>
      <c r="E16" s="8">
        <f t="shared" ca="1" si="0"/>
        <v>31</v>
      </c>
    </row>
    <row r="17" spans="1:5" x14ac:dyDescent="0.25">
      <c r="A17" s="7">
        <v>46220</v>
      </c>
      <c r="B17" s="8">
        <f t="shared" ca="1" si="1"/>
        <v>44</v>
      </c>
      <c r="C17" s="8">
        <f t="shared" ca="1" si="2"/>
        <v>0</v>
      </c>
      <c r="D17" s="8" cm="1">
        <f t="array" aca="1" ref="D17" ca="1">IFERROR(SUM(COUNTIF(INDIRECT("'"&amp;TEXT(A17,"DD-MM")&amp;"'!M3:M200"),{"*đơn trả*","*hàng tỉnh*"})),0)</f>
        <v>0</v>
      </c>
      <c r="E17" s="8">
        <f t="shared" ca="1" si="0"/>
        <v>44</v>
      </c>
    </row>
    <row r="18" spans="1:5" x14ac:dyDescent="0.25">
      <c r="A18" s="7">
        <v>46221</v>
      </c>
      <c r="B18" s="8">
        <f t="shared" ca="1" si="1"/>
        <v>34</v>
      </c>
      <c r="C18" s="8">
        <f t="shared" ca="1" si="2"/>
        <v>1</v>
      </c>
      <c r="D18" s="8" cm="1">
        <f t="array" aca="1" ref="D18" ca="1">IFERROR(SUM(COUNTIF(INDIRECT("'"&amp;TEXT(A18,"DD-MM")&amp;"'!M3:M200"),{"*đơn trả*","*hàng tỉnh*"})),0)</f>
        <v>1</v>
      </c>
      <c r="E18" s="8">
        <f t="shared" ca="1" si="0"/>
        <v>32</v>
      </c>
    </row>
    <row r="19" spans="1:5" x14ac:dyDescent="0.25">
      <c r="A19" s="7">
        <v>46223</v>
      </c>
      <c r="B19" s="8">
        <f t="shared" ca="1" si="1"/>
        <v>33</v>
      </c>
      <c r="C19" s="8">
        <f t="shared" ca="1" si="2"/>
        <v>0</v>
      </c>
      <c r="D19" s="8" cm="1">
        <f t="array" aca="1" ref="D19" ca="1">IFERROR(SUM(COUNTIF(INDIRECT("'"&amp;TEXT(A19,"DD-MM")&amp;"'!M3:M200"),{"*đơn trả*","*hàng tỉnh*"})),0)</f>
        <v>1</v>
      </c>
      <c r="E19" s="8">
        <f t="shared" ca="1" si="0"/>
        <v>32</v>
      </c>
    </row>
    <row r="20" spans="1:5" x14ac:dyDescent="0.25">
      <c r="A20" s="7">
        <v>46224</v>
      </c>
      <c r="B20" s="8">
        <f t="shared" ca="1" si="1"/>
        <v>25</v>
      </c>
      <c r="C20" s="8">
        <f t="shared" ca="1" si="2"/>
        <v>1</v>
      </c>
      <c r="D20" s="8" cm="1">
        <f t="array" aca="1" ref="D20" ca="1">IFERROR(SUM(COUNTIF(INDIRECT("'"&amp;TEXT(A20,"DD-MM")&amp;"'!M3:M200"),{"*đơn trả*","*hàng tỉnh*"})),0)</f>
        <v>0</v>
      </c>
      <c r="E20" s="8">
        <f t="shared" ca="1" si="0"/>
        <v>24</v>
      </c>
    </row>
    <row r="21" spans="1:5" x14ac:dyDescent="0.25">
      <c r="A21" s="7">
        <v>46225</v>
      </c>
      <c r="B21" s="8">
        <f t="shared" ca="1" si="1"/>
        <v>31</v>
      </c>
      <c r="C21" s="8">
        <f t="shared" ca="1" si="2"/>
        <v>0</v>
      </c>
      <c r="D21" s="8" cm="1">
        <f t="array" aca="1" ref="D21" ca="1">IFERROR(SUM(COUNTIF(INDIRECT("'"&amp;TEXT(A21,"DD-MM")&amp;"'!M3:M200"),{"*đơn trả*","*hàng tỉnh*"})),0)</f>
        <v>0</v>
      </c>
      <c r="E21" s="8">
        <f t="shared" ca="1" si="0"/>
        <v>31</v>
      </c>
    </row>
    <row r="22" spans="1:5" x14ac:dyDescent="0.25">
      <c r="A22" s="7">
        <v>46226</v>
      </c>
      <c r="B22" s="8">
        <f t="shared" ca="1" si="1"/>
        <v>44</v>
      </c>
      <c r="C22" s="8">
        <f t="shared" ca="1" si="2"/>
        <v>1</v>
      </c>
      <c r="D22" s="8" cm="1">
        <f t="array" aca="1" ref="D22" ca="1">IFERROR(SUM(COUNTIF(INDIRECT("'"&amp;TEXT(A22,"DD-MM")&amp;"'!M3:M200"),{"*đơn trả*","*hàng tỉnh*"})),0)</f>
        <v>0</v>
      </c>
      <c r="E22" s="8">
        <f t="shared" ca="1" si="0"/>
        <v>43</v>
      </c>
    </row>
    <row r="23" spans="1:5" x14ac:dyDescent="0.25">
      <c r="A23" s="7">
        <v>46227</v>
      </c>
      <c r="B23" s="8">
        <f t="shared" ca="1" si="1"/>
        <v>19</v>
      </c>
      <c r="C23" s="8">
        <f t="shared" ca="1" si="2"/>
        <v>0</v>
      </c>
      <c r="D23" s="8" cm="1">
        <f t="array" aca="1" ref="D23" ca="1">IFERROR(SUM(COUNTIF(INDIRECT("'"&amp;TEXT(A23,"DD-MM")&amp;"'!M3:M200"),{"*đơn trả*","*hàng tỉnh*"})),0)</f>
        <v>0</v>
      </c>
      <c r="E23" s="8">
        <f t="shared" ca="1" si="0"/>
        <v>19</v>
      </c>
    </row>
    <row r="24" spans="1:5" x14ac:dyDescent="0.25">
      <c r="A24" s="7">
        <v>46228</v>
      </c>
      <c r="B24" s="8">
        <f t="shared" ca="1" si="1"/>
        <v>24</v>
      </c>
      <c r="C24" s="8">
        <f t="shared" ca="1" si="2"/>
        <v>0</v>
      </c>
      <c r="D24" s="8" cm="1">
        <f t="array" aca="1" ref="D24" ca="1">IFERROR(SUM(COUNTIF(INDIRECT("'"&amp;TEXT(A24,"DD-MM")&amp;"'!M3:M200"),{"*đơn trả*","*hàng tỉnh*"})),0)</f>
        <v>0</v>
      </c>
      <c r="E24" s="8">
        <f t="shared" ca="1" si="0"/>
        <v>24</v>
      </c>
    </row>
    <row r="25" spans="1:5" x14ac:dyDescent="0.25">
      <c r="A25" s="7">
        <v>46230</v>
      </c>
      <c r="B25" s="8">
        <f t="shared" ca="1" si="1"/>
        <v>28</v>
      </c>
      <c r="C25" s="8">
        <f t="shared" ca="1" si="2"/>
        <v>2</v>
      </c>
      <c r="D25" s="8" cm="1">
        <f t="array" aca="1" ref="D25" ca="1">IFERROR(SUM(COUNTIF(INDIRECT("'"&amp;TEXT(A25,"DD-MM")&amp;"'!M3:M200"),{"*đơn trả*","*hàng tỉnh*"})),0)</f>
        <v>0</v>
      </c>
      <c r="E25" s="8">
        <f t="shared" ca="1" si="0"/>
        <v>26</v>
      </c>
    </row>
    <row r="26" spans="1:5" x14ac:dyDescent="0.25">
      <c r="A26" s="7">
        <v>46231</v>
      </c>
      <c r="B26" s="8">
        <f t="shared" ca="1" si="1"/>
        <v>31</v>
      </c>
      <c r="C26" s="8">
        <f t="shared" ca="1" si="2"/>
        <v>0</v>
      </c>
      <c r="D26" s="8" cm="1">
        <f t="array" aca="1" ref="D26" ca="1">IFERROR(SUM(COUNTIF(INDIRECT("'"&amp;TEXT(A26,"DD-MM")&amp;"'!M3:M200"),{"*đơn trả*","*hàng tỉnh*"})),0)</f>
        <v>0</v>
      </c>
      <c r="E26" s="8">
        <f t="shared" ca="1" si="0"/>
        <v>31</v>
      </c>
    </row>
    <row r="27" spans="1:5" x14ac:dyDescent="0.25">
      <c r="A27" s="7">
        <v>46232</v>
      </c>
      <c r="B27" s="8">
        <f t="shared" ca="1" si="1"/>
        <v>26</v>
      </c>
      <c r="C27" s="8">
        <f t="shared" ca="1" si="2"/>
        <v>0</v>
      </c>
      <c r="D27" s="8" cm="1">
        <f t="array" aca="1" ref="D27" ca="1">IFERROR(SUM(COUNTIF(INDIRECT("'"&amp;TEXT(A27,"DD-MM")&amp;"'!M3:M200"),{"*đơn trả*","*hàng tỉnh*"})),0)</f>
        <v>0</v>
      </c>
      <c r="E27" s="8">
        <f t="shared" ca="1" si="0"/>
        <v>26</v>
      </c>
    </row>
    <row r="28" spans="1:5" x14ac:dyDescent="0.25">
      <c r="A28" s="7">
        <v>46233</v>
      </c>
      <c r="B28" s="8">
        <f t="shared" ca="1" si="1"/>
        <v>36</v>
      </c>
      <c r="C28" s="8">
        <f t="shared" ca="1" si="2"/>
        <v>0</v>
      </c>
      <c r="D28" s="8" cm="1">
        <f t="array" aca="1" ref="D28" ca="1">IFERROR(SUM(COUNTIF(INDIRECT("'"&amp;TEXT(A28,"DD-MM")&amp;"'!M3:M200"),{"*đơn trả*","*hàng tỉnh*"})),0)</f>
        <v>1</v>
      </c>
      <c r="E28" s="8">
        <f t="shared" ca="1" si="0"/>
        <v>35</v>
      </c>
    </row>
    <row r="29" spans="1:5" x14ac:dyDescent="0.25">
      <c r="A29" s="7">
        <v>46234</v>
      </c>
      <c r="B29" s="8">
        <f t="shared" ca="1" si="1"/>
        <v>29</v>
      </c>
      <c r="C29" s="8">
        <f t="shared" ca="1" si="2"/>
        <v>0</v>
      </c>
      <c r="D29" s="8" cm="1">
        <f t="array" aca="1" ref="D29" ca="1">IFERROR(SUM(COUNTIF(INDIRECT("'"&amp;TEXT(A29,"DD-MM")&amp;"'!M3:M200"),{"*đơn trả*","*hàng tỉnh*"})),0)</f>
        <v>0</v>
      </c>
      <c r="E29" s="8">
        <f t="shared" ca="1" si="0"/>
        <v>29</v>
      </c>
    </row>
    <row r="30" spans="1:5" x14ac:dyDescent="0.25">
      <c r="D30" s="9" t="s">
        <v>6</v>
      </c>
      <c r="E30" s="9">
        <f ca="1">SUBTOTAL(9,E3:E29)</f>
        <v>852</v>
      </c>
    </row>
    <row r="31" spans="1:5" x14ac:dyDescent="0.25">
      <c r="D31" s="9" t="s">
        <v>7</v>
      </c>
      <c r="E31" s="9" cm="1">
        <f t="array" aca="1" ref="E31" ca="1">SUMPRODUCT(
    IFERROR(
        SUMIF(
            INDIRECT("'"&amp;TEXT(A3:A29,"dd-mm")&amp;"'!O:O"),
            "tổng",
            INDIRECT("'"&amp;TEXT(A3:A29,"dd-mm")&amp;"'!P:P")
        ),
    0)
)</f>
        <v>3168</v>
      </c>
    </row>
    <row r="32" spans="1:5" x14ac:dyDescent="0.25">
      <c r="D32" s="9" t="s">
        <v>8</v>
      </c>
      <c r="E32" s="9">
        <f ca="1">-E30*2</f>
        <v>-1704</v>
      </c>
    </row>
    <row r="33" spans="4:5" x14ac:dyDescent="0.25">
      <c r="D33" s="9" t="s">
        <v>9</v>
      </c>
      <c r="E33" s="9">
        <f ca="1">SUBTOTAL(9,E31:E32)</f>
        <v>1464</v>
      </c>
    </row>
  </sheetData>
  <autoFilter ref="A2:E29" xr:uid="{00000000-0009-0000-0000-000000000000}"/>
  <phoneticPr fontId="3" type="noConversion"/>
  <conditionalFormatting sqref="C3:D29">
    <cfRule type="expression" dxfId="0" priority="1">
      <formula>C3&lt;&gt;0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R62"/>
  <sheetViews>
    <sheetView workbookViewId="0">
      <selection activeCell="Q50" sqref="Q50"/>
    </sheetView>
  </sheetViews>
  <sheetFormatPr defaultRowHeight="15" x14ac:dyDescent="0.25"/>
  <cols>
    <col min="1" max="1" width="12.7109375" customWidth="1"/>
    <col min="2" max="2" width="17.7109375" customWidth="1"/>
    <col min="3" max="3" width="23.42578125" customWidth="1"/>
    <col min="4" max="4" width="9.85546875" customWidth="1"/>
    <col min="5" max="5" width="65" customWidth="1"/>
    <col min="6" max="6" width="10.855468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0.42578125" customWidth="1"/>
    <col min="13" max="13" width="22.85546875" customWidth="1"/>
    <col min="14" max="14" width="9.7109375" customWidth="1"/>
    <col min="15" max="15" width="10.42578125" customWidth="1"/>
    <col min="16" max="16" width="7" bestFit="1" customWidth="1"/>
  </cols>
  <sheetData>
    <row r="2" spans="1:18" x14ac:dyDescent="0.25">
      <c r="A2" s="15" t="s">
        <v>10</v>
      </c>
      <c r="B2" s="15" t="s">
        <v>11</v>
      </c>
      <c r="C2" s="15" t="s">
        <v>12</v>
      </c>
      <c r="D2" s="15" t="s">
        <v>13</v>
      </c>
      <c r="E2" s="15" t="s">
        <v>14</v>
      </c>
      <c r="F2" s="15" t="s">
        <v>15</v>
      </c>
      <c r="G2" s="15" t="s">
        <v>16</v>
      </c>
      <c r="H2" s="15" t="s">
        <v>17</v>
      </c>
      <c r="I2" s="15" t="s">
        <v>18</v>
      </c>
      <c r="J2" s="15" t="s">
        <v>19</v>
      </c>
      <c r="K2" s="15" t="s">
        <v>20</v>
      </c>
      <c r="L2" s="15" t="s">
        <v>21</v>
      </c>
      <c r="M2" s="15" t="s">
        <v>22</v>
      </c>
      <c r="N2" s="15" t="s">
        <v>23</v>
      </c>
      <c r="O2" s="15" t="s">
        <v>24</v>
      </c>
      <c r="P2" s="15" t="s">
        <v>25</v>
      </c>
      <c r="Q2" s="16"/>
    </row>
    <row r="3" spans="1:18" x14ac:dyDescent="0.25">
      <c r="A3" s="16"/>
      <c r="B3" s="16" t="s">
        <v>26</v>
      </c>
      <c r="C3" s="16" t="s">
        <v>27</v>
      </c>
      <c r="D3" s="16" t="s">
        <v>28</v>
      </c>
      <c r="E3" s="16" t="s">
        <v>29</v>
      </c>
      <c r="F3" s="16" t="s">
        <v>30</v>
      </c>
      <c r="G3" s="17">
        <v>765</v>
      </c>
      <c r="H3" s="17">
        <v>25</v>
      </c>
      <c r="I3" s="17">
        <f t="shared" ref="I3:I36" si="0">G3-H3</f>
        <v>740</v>
      </c>
      <c r="J3" s="16" t="s">
        <v>31</v>
      </c>
      <c r="K3" s="16" t="s">
        <v>32</v>
      </c>
      <c r="L3" s="16" t="s">
        <v>33</v>
      </c>
      <c r="M3" s="16"/>
      <c r="N3" s="16"/>
      <c r="O3" s="16"/>
      <c r="P3" s="16"/>
      <c r="Q3" s="16">
        <v>1</v>
      </c>
    </row>
    <row r="4" spans="1:18" x14ac:dyDescent="0.25">
      <c r="A4" s="16"/>
      <c r="B4" s="16" t="s">
        <v>26</v>
      </c>
      <c r="C4" s="16" t="s">
        <v>34</v>
      </c>
      <c r="D4" s="16" t="s">
        <v>35</v>
      </c>
      <c r="E4" s="16" t="s">
        <v>36</v>
      </c>
      <c r="F4" s="17">
        <v>6</v>
      </c>
      <c r="G4" s="17">
        <v>0</v>
      </c>
      <c r="H4" s="17">
        <v>25</v>
      </c>
      <c r="I4" s="17">
        <f t="shared" si="0"/>
        <v>-25</v>
      </c>
      <c r="J4" s="16" t="s">
        <v>31</v>
      </c>
      <c r="K4" s="16" t="s">
        <v>32</v>
      </c>
      <c r="L4" s="16" t="s">
        <v>33</v>
      </c>
      <c r="M4" s="16"/>
      <c r="N4" s="16"/>
      <c r="O4" s="16"/>
      <c r="P4" s="16"/>
      <c r="Q4" s="16">
        <v>1</v>
      </c>
    </row>
    <row r="5" spans="1:18" s="21" customFormat="1" x14ac:dyDescent="0.25">
      <c r="A5" s="19"/>
      <c r="B5" s="19" t="s">
        <v>26</v>
      </c>
      <c r="C5" s="19" t="s">
        <v>37</v>
      </c>
      <c r="D5" s="19" t="s">
        <v>38</v>
      </c>
      <c r="E5" s="19" t="s">
        <v>39</v>
      </c>
      <c r="F5" s="19" t="s">
        <v>40</v>
      </c>
      <c r="G5" s="20">
        <v>210</v>
      </c>
      <c r="H5" s="20">
        <v>35</v>
      </c>
      <c r="I5" s="20">
        <f t="shared" si="0"/>
        <v>175</v>
      </c>
      <c r="J5" s="19" t="s">
        <v>31</v>
      </c>
      <c r="K5" s="19" t="s">
        <v>32</v>
      </c>
      <c r="L5" s="19" t="s">
        <v>33</v>
      </c>
      <c r="M5" s="18" t="s">
        <v>41</v>
      </c>
      <c r="N5" s="19"/>
      <c r="O5" s="19"/>
      <c r="P5" s="19"/>
      <c r="Q5" s="19">
        <v>1</v>
      </c>
      <c r="R5" s="22">
        <f>H5</f>
        <v>35</v>
      </c>
    </row>
    <row r="6" spans="1:18" x14ac:dyDescent="0.25">
      <c r="A6" s="16"/>
      <c r="B6" s="16" t="s">
        <v>26</v>
      </c>
      <c r="C6" s="16" t="s">
        <v>42</v>
      </c>
      <c r="D6" s="16" t="s">
        <v>43</v>
      </c>
      <c r="E6" s="16" t="s">
        <v>44</v>
      </c>
      <c r="F6" s="17">
        <v>11</v>
      </c>
      <c r="G6" s="17">
        <v>795</v>
      </c>
      <c r="H6" s="17">
        <v>25</v>
      </c>
      <c r="I6" s="17">
        <f t="shared" si="0"/>
        <v>770</v>
      </c>
      <c r="J6" s="16" t="s">
        <v>31</v>
      </c>
      <c r="K6" s="16" t="s">
        <v>32</v>
      </c>
      <c r="L6" s="16" t="s">
        <v>33</v>
      </c>
      <c r="M6" s="16"/>
      <c r="N6" s="16"/>
      <c r="O6" s="16"/>
      <c r="P6" s="16"/>
      <c r="Q6" s="16">
        <v>1</v>
      </c>
    </row>
    <row r="7" spans="1:18" x14ac:dyDescent="0.25">
      <c r="A7" s="16"/>
      <c r="B7" s="16" t="s">
        <v>26</v>
      </c>
      <c r="C7" s="16" t="s">
        <v>45</v>
      </c>
      <c r="D7" s="16" t="s">
        <v>46</v>
      </c>
      <c r="E7" s="16" t="s">
        <v>47</v>
      </c>
      <c r="F7" s="16" t="s">
        <v>30</v>
      </c>
      <c r="G7" s="17">
        <v>845</v>
      </c>
      <c r="H7" s="17">
        <v>25</v>
      </c>
      <c r="I7" s="17">
        <f t="shared" si="0"/>
        <v>820</v>
      </c>
      <c r="J7" s="16" t="s">
        <v>31</v>
      </c>
      <c r="K7" s="16" t="s">
        <v>32</v>
      </c>
      <c r="L7" s="16" t="s">
        <v>33</v>
      </c>
      <c r="M7" s="16"/>
      <c r="N7" s="16"/>
      <c r="O7" s="16"/>
      <c r="P7" s="16"/>
      <c r="Q7" s="16">
        <v>1</v>
      </c>
    </row>
    <row r="8" spans="1:18" x14ac:dyDescent="0.25">
      <c r="A8" s="16"/>
      <c r="B8" s="16" t="s">
        <v>26</v>
      </c>
      <c r="C8" s="16" t="s">
        <v>48</v>
      </c>
      <c r="D8" s="16" t="s">
        <v>49</v>
      </c>
      <c r="E8" s="16" t="s">
        <v>50</v>
      </c>
      <c r="F8" s="16" t="s">
        <v>51</v>
      </c>
      <c r="G8" s="17">
        <v>0</v>
      </c>
      <c r="H8" s="17">
        <v>30</v>
      </c>
      <c r="I8" s="17">
        <f t="shared" si="0"/>
        <v>-30</v>
      </c>
      <c r="J8" s="16" t="s">
        <v>31</v>
      </c>
      <c r="K8" s="16" t="s">
        <v>32</v>
      </c>
      <c r="L8" s="16" t="s">
        <v>33</v>
      </c>
      <c r="M8" s="16"/>
      <c r="N8" s="16"/>
      <c r="O8" s="16"/>
      <c r="P8" s="16"/>
      <c r="Q8" s="16">
        <v>1</v>
      </c>
    </row>
    <row r="9" spans="1:18" x14ac:dyDescent="0.25">
      <c r="A9" s="16"/>
      <c r="B9" s="16" t="s">
        <v>26</v>
      </c>
      <c r="C9" s="16" t="s">
        <v>52</v>
      </c>
      <c r="D9" s="16" t="s">
        <v>53</v>
      </c>
      <c r="E9" s="16" t="s">
        <v>54</v>
      </c>
      <c r="F9" s="17">
        <v>8</v>
      </c>
      <c r="G9" s="17">
        <v>850</v>
      </c>
      <c r="H9" s="17">
        <v>30</v>
      </c>
      <c r="I9" s="17">
        <f t="shared" si="0"/>
        <v>820</v>
      </c>
      <c r="J9" s="16" t="s">
        <v>31</v>
      </c>
      <c r="K9" s="16" t="s">
        <v>32</v>
      </c>
      <c r="L9" s="16" t="s">
        <v>33</v>
      </c>
      <c r="M9" s="18" t="s">
        <v>55</v>
      </c>
      <c r="N9" s="16"/>
      <c r="O9" s="16"/>
      <c r="P9" s="16"/>
      <c r="Q9" s="16">
        <v>1</v>
      </c>
      <c r="R9" s="10">
        <f>H9</f>
        <v>30</v>
      </c>
    </row>
    <row r="10" spans="1:18" x14ac:dyDescent="0.25">
      <c r="A10" s="16"/>
      <c r="B10" s="16" t="s">
        <v>26</v>
      </c>
      <c r="C10" s="16" t="s">
        <v>56</v>
      </c>
      <c r="D10" s="16" t="s">
        <v>57</v>
      </c>
      <c r="E10" s="16" t="s">
        <v>58</v>
      </c>
      <c r="F10" s="16" t="s">
        <v>40</v>
      </c>
      <c r="G10" s="17">
        <v>695</v>
      </c>
      <c r="H10" s="17">
        <v>35</v>
      </c>
      <c r="I10" s="17">
        <f t="shared" si="0"/>
        <v>660</v>
      </c>
      <c r="J10" s="16" t="s">
        <v>31</v>
      </c>
      <c r="K10" s="16" t="s">
        <v>32</v>
      </c>
      <c r="L10" s="16" t="s">
        <v>33</v>
      </c>
      <c r="M10" s="16"/>
      <c r="N10" s="16"/>
      <c r="O10" s="16"/>
      <c r="P10" s="16"/>
      <c r="Q10" s="16">
        <v>1</v>
      </c>
    </row>
    <row r="11" spans="1:18" x14ac:dyDescent="0.25">
      <c r="A11" s="16"/>
      <c r="B11" s="16" t="s">
        <v>26</v>
      </c>
      <c r="C11" s="16" t="s">
        <v>59</v>
      </c>
      <c r="D11" s="16" t="s">
        <v>60</v>
      </c>
      <c r="E11" s="16" t="s">
        <v>61</v>
      </c>
      <c r="F11" s="16" t="s">
        <v>30</v>
      </c>
      <c r="G11" s="17">
        <v>515</v>
      </c>
      <c r="H11" s="17">
        <v>25</v>
      </c>
      <c r="I11" s="17">
        <f t="shared" si="0"/>
        <v>490</v>
      </c>
      <c r="J11" s="16" t="s">
        <v>31</v>
      </c>
      <c r="K11" s="16" t="s">
        <v>32</v>
      </c>
      <c r="L11" s="16" t="s">
        <v>33</v>
      </c>
      <c r="M11" s="16"/>
      <c r="N11" s="16"/>
      <c r="O11" s="16"/>
      <c r="P11" s="16"/>
      <c r="Q11" s="16">
        <v>1</v>
      </c>
    </row>
    <row r="12" spans="1:18" x14ac:dyDescent="0.25">
      <c r="A12" s="16"/>
      <c r="B12" s="16" t="s">
        <v>26</v>
      </c>
      <c r="C12" s="16" t="s">
        <v>62</v>
      </c>
      <c r="D12" s="16" t="s">
        <v>63</v>
      </c>
      <c r="E12" s="16" t="s">
        <v>64</v>
      </c>
      <c r="F12" s="16" t="s">
        <v>51</v>
      </c>
      <c r="G12" s="17">
        <v>1210</v>
      </c>
      <c r="H12" s="17">
        <v>30</v>
      </c>
      <c r="I12" s="17">
        <f t="shared" si="0"/>
        <v>1180</v>
      </c>
      <c r="J12" s="16" t="s">
        <v>31</v>
      </c>
      <c r="K12" s="16" t="s">
        <v>32</v>
      </c>
      <c r="L12" s="16" t="s">
        <v>33</v>
      </c>
      <c r="M12" s="16"/>
      <c r="N12" s="16"/>
      <c r="O12" s="16"/>
      <c r="P12" s="16"/>
      <c r="Q12" s="16">
        <v>1</v>
      </c>
    </row>
    <row r="13" spans="1:18" s="21" customFormat="1" x14ac:dyDescent="0.25">
      <c r="A13" s="19"/>
      <c r="B13" s="19" t="s">
        <v>26</v>
      </c>
      <c r="C13" s="19" t="s">
        <v>65</v>
      </c>
      <c r="D13" s="19" t="s">
        <v>66</v>
      </c>
      <c r="E13" s="19" t="s">
        <v>67</v>
      </c>
      <c r="F13" s="19" t="s">
        <v>40</v>
      </c>
      <c r="G13" s="20">
        <v>35</v>
      </c>
      <c r="H13" s="20">
        <v>35</v>
      </c>
      <c r="I13" s="20">
        <f t="shared" si="0"/>
        <v>0</v>
      </c>
      <c r="J13" s="19" t="s">
        <v>31</v>
      </c>
      <c r="K13" s="19" t="s">
        <v>32</v>
      </c>
      <c r="L13" s="19" t="s">
        <v>33</v>
      </c>
      <c r="M13" s="19" t="s">
        <v>68</v>
      </c>
      <c r="N13" s="19"/>
      <c r="O13" s="19"/>
      <c r="P13" s="19"/>
      <c r="Q13" s="19">
        <v>1</v>
      </c>
    </row>
    <row r="14" spans="1:18" x14ac:dyDescent="0.25">
      <c r="A14" s="16"/>
      <c r="B14" s="16" t="s">
        <v>26</v>
      </c>
      <c r="C14" s="16" t="s">
        <v>69</v>
      </c>
      <c r="D14" s="16" t="s">
        <v>70</v>
      </c>
      <c r="E14" s="16" t="s">
        <v>71</v>
      </c>
      <c r="F14" s="17">
        <v>6</v>
      </c>
      <c r="G14" s="17">
        <v>995</v>
      </c>
      <c r="H14" s="17">
        <v>25</v>
      </c>
      <c r="I14" s="17">
        <f t="shared" si="0"/>
        <v>970</v>
      </c>
      <c r="J14" s="16" t="s">
        <v>31</v>
      </c>
      <c r="K14" s="16" t="s">
        <v>32</v>
      </c>
      <c r="L14" s="16" t="s">
        <v>33</v>
      </c>
      <c r="M14" s="16"/>
      <c r="N14" s="16"/>
      <c r="O14" s="16"/>
      <c r="P14" s="16"/>
      <c r="Q14" s="16">
        <v>1</v>
      </c>
    </row>
    <row r="15" spans="1:18" x14ac:dyDescent="0.25">
      <c r="A15" s="16"/>
      <c r="B15" s="16" t="s">
        <v>26</v>
      </c>
      <c r="C15" s="16" t="s">
        <v>72</v>
      </c>
      <c r="D15" s="16" t="s">
        <v>73</v>
      </c>
      <c r="E15" s="16" t="s">
        <v>74</v>
      </c>
      <c r="F15" s="16" t="s">
        <v>75</v>
      </c>
      <c r="G15" s="17">
        <v>1900</v>
      </c>
      <c r="H15" s="17">
        <v>20</v>
      </c>
      <c r="I15" s="17">
        <f t="shared" si="0"/>
        <v>1880</v>
      </c>
      <c r="J15" s="16" t="s">
        <v>32</v>
      </c>
      <c r="K15" s="16" t="s">
        <v>32</v>
      </c>
      <c r="L15" s="16" t="s">
        <v>33</v>
      </c>
      <c r="M15" s="18" t="s">
        <v>55</v>
      </c>
      <c r="N15" s="16"/>
      <c r="O15" s="16"/>
      <c r="P15" s="16"/>
      <c r="Q15" s="16">
        <v>1</v>
      </c>
    </row>
    <row r="16" spans="1:18" x14ac:dyDescent="0.25">
      <c r="A16" s="16"/>
      <c r="B16" s="16" t="s">
        <v>26</v>
      </c>
      <c r="C16" s="16" t="s">
        <v>76</v>
      </c>
      <c r="D16" s="16" t="s">
        <v>77</v>
      </c>
      <c r="E16" s="16" t="s">
        <v>78</v>
      </c>
      <c r="F16" s="16" t="s">
        <v>75</v>
      </c>
      <c r="G16" s="17">
        <v>0</v>
      </c>
      <c r="H16" s="17">
        <v>20</v>
      </c>
      <c r="I16" s="17">
        <f t="shared" si="0"/>
        <v>-20</v>
      </c>
      <c r="J16" s="16" t="s">
        <v>32</v>
      </c>
      <c r="K16" s="16" t="s">
        <v>32</v>
      </c>
      <c r="L16" s="16" t="s">
        <v>33</v>
      </c>
      <c r="M16" s="16"/>
      <c r="N16" s="16"/>
      <c r="O16" s="16"/>
      <c r="P16" s="16"/>
      <c r="Q16" s="16">
        <v>1</v>
      </c>
    </row>
    <row r="17" spans="1:18" x14ac:dyDescent="0.25">
      <c r="A17" s="16"/>
      <c r="B17" s="16" t="s">
        <v>26</v>
      </c>
      <c r="C17" s="16" t="s">
        <v>79</v>
      </c>
      <c r="D17" s="16" t="s">
        <v>80</v>
      </c>
      <c r="E17" s="16" t="s">
        <v>81</v>
      </c>
      <c r="F17" s="16" t="s">
        <v>82</v>
      </c>
      <c r="G17" s="17">
        <v>1335</v>
      </c>
      <c r="H17" s="17">
        <v>25</v>
      </c>
      <c r="I17" s="17">
        <f t="shared" si="0"/>
        <v>1310</v>
      </c>
      <c r="J17" s="16" t="s">
        <v>32</v>
      </c>
      <c r="K17" s="16" t="s">
        <v>32</v>
      </c>
      <c r="L17" s="16" t="s">
        <v>33</v>
      </c>
      <c r="M17" s="16"/>
      <c r="N17" s="16"/>
      <c r="O17" s="16"/>
      <c r="P17" s="16"/>
      <c r="Q17" s="16">
        <v>1</v>
      </c>
    </row>
    <row r="18" spans="1:18" x14ac:dyDescent="0.25">
      <c r="A18" s="16"/>
      <c r="B18" s="16" t="s">
        <v>26</v>
      </c>
      <c r="C18" s="16" t="s">
        <v>83</v>
      </c>
      <c r="D18" s="16" t="s">
        <v>84</v>
      </c>
      <c r="E18" s="16" t="s">
        <v>85</v>
      </c>
      <c r="F18" s="16" t="s">
        <v>82</v>
      </c>
      <c r="G18" s="17">
        <v>885</v>
      </c>
      <c r="H18" s="17">
        <v>25</v>
      </c>
      <c r="I18" s="17">
        <f t="shared" si="0"/>
        <v>860</v>
      </c>
      <c r="J18" s="16" t="s">
        <v>32</v>
      </c>
      <c r="K18" s="16" t="s">
        <v>32</v>
      </c>
      <c r="L18" s="16" t="s">
        <v>33</v>
      </c>
      <c r="M18" s="16"/>
      <c r="N18" s="16"/>
      <c r="O18" s="16"/>
      <c r="P18" s="16"/>
      <c r="Q18" s="16">
        <v>1</v>
      </c>
    </row>
    <row r="19" spans="1:18" x14ac:dyDescent="0.25">
      <c r="A19" s="16"/>
      <c r="B19" s="16" t="s">
        <v>26</v>
      </c>
      <c r="C19" s="16" t="s">
        <v>86</v>
      </c>
      <c r="D19" s="16" t="s">
        <v>87</v>
      </c>
      <c r="E19" s="16" t="s">
        <v>88</v>
      </c>
      <c r="F19" s="16" t="s">
        <v>89</v>
      </c>
      <c r="G19" s="17">
        <v>0</v>
      </c>
      <c r="H19" s="17">
        <v>30</v>
      </c>
      <c r="I19" s="17">
        <f t="shared" si="0"/>
        <v>-30</v>
      </c>
      <c r="J19" s="16" t="s">
        <v>32</v>
      </c>
      <c r="K19" s="16" t="s">
        <v>32</v>
      </c>
      <c r="L19" s="16" t="s">
        <v>33</v>
      </c>
      <c r="M19" s="16"/>
      <c r="N19" s="16"/>
      <c r="O19" s="16"/>
      <c r="P19" s="16"/>
      <c r="Q19" s="16">
        <v>1</v>
      </c>
    </row>
    <row r="20" spans="1:18" x14ac:dyDescent="0.25">
      <c r="A20" s="16"/>
      <c r="B20" s="16" t="s">
        <v>26</v>
      </c>
      <c r="C20" s="16" t="s">
        <v>90</v>
      </c>
      <c r="D20" s="16" t="s">
        <v>91</v>
      </c>
      <c r="E20" s="16" t="s">
        <v>92</v>
      </c>
      <c r="F20" s="16" t="s">
        <v>93</v>
      </c>
      <c r="G20" s="17">
        <v>715</v>
      </c>
      <c r="H20" s="17">
        <v>25</v>
      </c>
      <c r="I20" s="17">
        <f t="shared" si="0"/>
        <v>690</v>
      </c>
      <c r="J20" s="16" t="s">
        <v>32</v>
      </c>
      <c r="K20" s="16" t="s">
        <v>32</v>
      </c>
      <c r="L20" s="16" t="s">
        <v>33</v>
      </c>
      <c r="M20" s="16"/>
      <c r="N20" s="16"/>
      <c r="O20" s="16"/>
      <c r="P20" s="16"/>
      <c r="Q20" s="16">
        <v>1</v>
      </c>
    </row>
    <row r="21" spans="1:18" x14ac:dyDescent="0.25">
      <c r="A21" s="16"/>
      <c r="B21" s="16" t="s">
        <v>26</v>
      </c>
      <c r="C21" s="16" t="s">
        <v>94</v>
      </c>
      <c r="D21" s="16" t="s">
        <v>95</v>
      </c>
      <c r="E21" s="16" t="s">
        <v>96</v>
      </c>
      <c r="F21" s="16" t="s">
        <v>75</v>
      </c>
      <c r="G21" s="17">
        <v>760</v>
      </c>
      <c r="H21" s="17">
        <v>20</v>
      </c>
      <c r="I21" s="17">
        <f t="shared" si="0"/>
        <v>740</v>
      </c>
      <c r="J21" s="16" t="s">
        <v>32</v>
      </c>
      <c r="K21" s="16" t="s">
        <v>32</v>
      </c>
      <c r="L21" s="16" t="s">
        <v>33</v>
      </c>
      <c r="M21" s="16"/>
      <c r="N21" s="16"/>
      <c r="O21" s="16"/>
      <c r="P21" s="16"/>
      <c r="Q21" s="16">
        <v>1</v>
      </c>
    </row>
    <row r="22" spans="1:18" x14ac:dyDescent="0.25">
      <c r="A22" s="16"/>
      <c r="B22" s="16" t="s">
        <v>26</v>
      </c>
      <c r="C22" s="16" t="s">
        <v>97</v>
      </c>
      <c r="D22" s="16" t="s">
        <v>98</v>
      </c>
      <c r="E22" s="16" t="s">
        <v>99</v>
      </c>
      <c r="F22" s="17">
        <v>2</v>
      </c>
      <c r="G22" s="17">
        <v>1000</v>
      </c>
      <c r="H22" s="17">
        <v>30</v>
      </c>
      <c r="I22" s="17">
        <f t="shared" si="0"/>
        <v>970</v>
      </c>
      <c r="J22" s="16" t="s">
        <v>32</v>
      </c>
      <c r="K22" s="16" t="s">
        <v>32</v>
      </c>
      <c r="L22" s="16" t="s">
        <v>33</v>
      </c>
      <c r="M22" s="16"/>
      <c r="N22" s="16"/>
      <c r="O22" s="16"/>
      <c r="P22" s="16"/>
      <c r="Q22" s="16">
        <v>1</v>
      </c>
    </row>
    <row r="23" spans="1:18" x14ac:dyDescent="0.25">
      <c r="A23" s="16"/>
      <c r="B23" s="16" t="s">
        <v>26</v>
      </c>
      <c r="C23" s="16" t="s">
        <v>100</v>
      </c>
      <c r="D23" s="16" t="s">
        <v>101</v>
      </c>
      <c r="E23" s="16" t="s">
        <v>102</v>
      </c>
      <c r="F23" s="17">
        <v>4</v>
      </c>
      <c r="G23" s="17">
        <v>0</v>
      </c>
      <c r="H23" s="17">
        <v>25</v>
      </c>
      <c r="I23" s="17">
        <f t="shared" si="0"/>
        <v>-25</v>
      </c>
      <c r="J23" s="16" t="s">
        <v>103</v>
      </c>
      <c r="K23" s="16" t="s">
        <v>32</v>
      </c>
      <c r="L23" s="16" t="s">
        <v>33</v>
      </c>
      <c r="M23" s="16"/>
      <c r="N23" s="16"/>
      <c r="O23" s="16"/>
      <c r="P23" s="16"/>
      <c r="Q23" s="16">
        <v>1</v>
      </c>
    </row>
    <row r="24" spans="1:18" x14ac:dyDescent="0.25">
      <c r="A24" s="16"/>
      <c r="B24" s="16" t="s">
        <v>26</v>
      </c>
      <c r="C24" s="16" t="s">
        <v>104</v>
      </c>
      <c r="D24" s="16" t="s">
        <v>105</v>
      </c>
      <c r="E24" s="16" t="s">
        <v>106</v>
      </c>
      <c r="F24" s="17">
        <v>7</v>
      </c>
      <c r="G24" s="17">
        <v>2370</v>
      </c>
      <c r="H24" s="17">
        <v>35</v>
      </c>
      <c r="I24" s="17">
        <f t="shared" si="0"/>
        <v>2335</v>
      </c>
      <c r="J24" s="16" t="s">
        <v>103</v>
      </c>
      <c r="K24" s="16" t="s">
        <v>32</v>
      </c>
      <c r="L24" s="16" t="s">
        <v>33</v>
      </c>
      <c r="M24" s="18" t="s">
        <v>55</v>
      </c>
      <c r="N24" s="16"/>
      <c r="O24" s="16"/>
      <c r="P24" s="16"/>
      <c r="Q24" s="16">
        <v>1</v>
      </c>
      <c r="R24" s="10">
        <f>H24</f>
        <v>35</v>
      </c>
    </row>
    <row r="25" spans="1:18" x14ac:dyDescent="0.25">
      <c r="A25" s="16"/>
      <c r="B25" s="16" t="s">
        <v>26</v>
      </c>
      <c r="C25" s="16" t="s">
        <v>107</v>
      </c>
      <c r="D25" s="16" t="s">
        <v>108</v>
      </c>
      <c r="E25" s="16" t="s">
        <v>109</v>
      </c>
      <c r="F25" s="16" t="s">
        <v>110</v>
      </c>
      <c r="G25" s="17">
        <v>880</v>
      </c>
      <c r="H25" s="17">
        <v>20</v>
      </c>
      <c r="I25" s="17">
        <f t="shared" si="0"/>
        <v>860</v>
      </c>
      <c r="J25" s="16" t="s">
        <v>103</v>
      </c>
      <c r="K25" s="16" t="s">
        <v>32</v>
      </c>
      <c r="L25" s="16" t="s">
        <v>33</v>
      </c>
      <c r="M25" s="16"/>
      <c r="N25" s="16"/>
      <c r="O25" s="16"/>
      <c r="P25" s="16"/>
      <c r="Q25" s="16">
        <v>1</v>
      </c>
    </row>
    <row r="26" spans="1:18" x14ac:dyDescent="0.25">
      <c r="A26" s="16"/>
      <c r="B26" s="16" t="s">
        <v>26</v>
      </c>
      <c r="C26" s="16" t="s">
        <v>111</v>
      </c>
      <c r="D26" s="16" t="s">
        <v>112</v>
      </c>
      <c r="E26" s="16" t="s">
        <v>113</v>
      </c>
      <c r="F26" s="17">
        <v>4</v>
      </c>
      <c r="G26" s="17">
        <v>2490</v>
      </c>
      <c r="H26" s="17">
        <v>30</v>
      </c>
      <c r="I26" s="17">
        <f t="shared" si="0"/>
        <v>2460</v>
      </c>
      <c r="J26" s="16" t="s">
        <v>103</v>
      </c>
      <c r="K26" s="16" t="s">
        <v>32</v>
      </c>
      <c r="L26" s="16" t="s">
        <v>33</v>
      </c>
      <c r="M26" s="18" t="s">
        <v>55</v>
      </c>
      <c r="N26" s="16"/>
      <c r="O26" s="16"/>
      <c r="P26" s="16"/>
      <c r="Q26" s="16">
        <v>1</v>
      </c>
      <c r="R26" s="10">
        <f>H26</f>
        <v>30</v>
      </c>
    </row>
    <row r="27" spans="1:18" x14ac:dyDescent="0.25">
      <c r="A27" s="16"/>
      <c r="B27" s="16" t="s">
        <v>26</v>
      </c>
      <c r="C27" s="16" t="s">
        <v>114</v>
      </c>
      <c r="D27" s="16" t="s">
        <v>115</v>
      </c>
      <c r="E27" s="16" t="s">
        <v>116</v>
      </c>
      <c r="F27" s="17">
        <v>5</v>
      </c>
      <c r="G27" s="17">
        <v>1355</v>
      </c>
      <c r="H27" s="17">
        <v>25</v>
      </c>
      <c r="I27" s="17">
        <f t="shared" si="0"/>
        <v>1330</v>
      </c>
      <c r="J27" s="16" t="s">
        <v>103</v>
      </c>
      <c r="K27" s="16" t="s">
        <v>32</v>
      </c>
      <c r="L27" s="16" t="s">
        <v>33</v>
      </c>
      <c r="M27" s="16"/>
      <c r="N27" s="16"/>
      <c r="O27" s="16"/>
      <c r="P27" s="16"/>
      <c r="Q27" s="16">
        <v>1</v>
      </c>
    </row>
    <row r="28" spans="1:18" x14ac:dyDescent="0.25">
      <c r="A28" s="16"/>
      <c r="B28" s="16" t="s">
        <v>26</v>
      </c>
      <c r="C28" s="16" t="s">
        <v>117</v>
      </c>
      <c r="D28" s="16" t="s">
        <v>118</v>
      </c>
      <c r="E28" s="16" t="s">
        <v>119</v>
      </c>
      <c r="F28" s="16" t="s">
        <v>110</v>
      </c>
      <c r="G28" s="17">
        <v>890</v>
      </c>
      <c r="H28" s="17">
        <v>20</v>
      </c>
      <c r="I28" s="17">
        <f t="shared" si="0"/>
        <v>870</v>
      </c>
      <c r="J28" s="16" t="s">
        <v>103</v>
      </c>
      <c r="K28" s="16" t="s">
        <v>32</v>
      </c>
      <c r="L28" s="16" t="s">
        <v>33</v>
      </c>
      <c r="M28" s="16"/>
      <c r="N28" s="16"/>
      <c r="O28" s="16"/>
      <c r="P28" s="16"/>
      <c r="Q28" s="16">
        <v>1</v>
      </c>
    </row>
    <row r="29" spans="1:18" x14ac:dyDescent="0.25">
      <c r="A29" s="16"/>
      <c r="B29" s="16" t="s">
        <v>26</v>
      </c>
      <c r="C29" s="16" t="s">
        <v>120</v>
      </c>
      <c r="D29" s="16" t="s">
        <v>121</v>
      </c>
      <c r="E29" s="16" t="s">
        <v>122</v>
      </c>
      <c r="F29" s="17">
        <v>5</v>
      </c>
      <c r="G29" s="17">
        <v>0</v>
      </c>
      <c r="H29" s="17">
        <v>25</v>
      </c>
      <c r="I29" s="17">
        <f t="shared" si="0"/>
        <v>-25</v>
      </c>
      <c r="J29" s="16" t="s">
        <v>103</v>
      </c>
      <c r="K29" s="16" t="s">
        <v>32</v>
      </c>
      <c r="L29" s="16" t="s">
        <v>33</v>
      </c>
      <c r="M29" s="16"/>
      <c r="N29" s="16"/>
      <c r="O29" s="16"/>
      <c r="P29" s="16"/>
      <c r="Q29" s="16">
        <v>1</v>
      </c>
    </row>
    <row r="30" spans="1:18" x14ac:dyDescent="0.25">
      <c r="A30" s="16"/>
      <c r="B30" s="16" t="s">
        <v>26</v>
      </c>
      <c r="C30" s="16" t="s">
        <v>123</v>
      </c>
      <c r="D30" s="16" t="s">
        <v>124</v>
      </c>
      <c r="E30" s="16" t="s">
        <v>125</v>
      </c>
      <c r="F30" s="17">
        <v>7</v>
      </c>
      <c r="G30" s="17">
        <v>920</v>
      </c>
      <c r="H30" s="17">
        <v>30</v>
      </c>
      <c r="I30" s="17">
        <f t="shared" si="0"/>
        <v>890</v>
      </c>
      <c r="J30" s="16" t="s">
        <v>103</v>
      </c>
      <c r="K30" s="16" t="s">
        <v>32</v>
      </c>
      <c r="L30" s="16" t="s">
        <v>33</v>
      </c>
      <c r="M30" s="16"/>
      <c r="N30" s="16"/>
      <c r="O30" s="16"/>
      <c r="P30" s="16"/>
      <c r="Q30" s="16">
        <v>1</v>
      </c>
    </row>
    <row r="31" spans="1:18" x14ac:dyDescent="0.25">
      <c r="A31" s="16"/>
      <c r="B31" s="16" t="s">
        <v>26</v>
      </c>
      <c r="C31" s="16" t="s">
        <v>126</v>
      </c>
      <c r="D31" s="16" t="s">
        <v>127</v>
      </c>
      <c r="E31" s="16" t="s">
        <v>128</v>
      </c>
      <c r="F31" s="17">
        <v>10</v>
      </c>
      <c r="G31" s="17">
        <v>885</v>
      </c>
      <c r="H31" s="17">
        <v>25</v>
      </c>
      <c r="I31" s="17">
        <f t="shared" si="0"/>
        <v>860</v>
      </c>
      <c r="J31" s="16" t="s">
        <v>103</v>
      </c>
      <c r="K31" s="16" t="s">
        <v>32</v>
      </c>
      <c r="L31" s="16" t="s">
        <v>33</v>
      </c>
      <c r="M31" s="16"/>
      <c r="N31" s="16"/>
      <c r="O31" s="16"/>
      <c r="P31" s="16"/>
      <c r="Q31" s="16">
        <v>1</v>
      </c>
    </row>
    <row r="32" spans="1:18" x14ac:dyDescent="0.25">
      <c r="A32" s="16"/>
      <c r="B32" s="16" t="s">
        <v>26</v>
      </c>
      <c r="C32" s="16" t="s">
        <v>129</v>
      </c>
      <c r="D32" s="16" t="s">
        <v>130</v>
      </c>
      <c r="E32" s="16" t="s">
        <v>131</v>
      </c>
      <c r="F32" s="17">
        <v>1</v>
      </c>
      <c r="G32" s="17">
        <v>855</v>
      </c>
      <c r="H32" s="17">
        <v>25</v>
      </c>
      <c r="I32" s="17">
        <f t="shared" si="0"/>
        <v>830</v>
      </c>
      <c r="J32" s="16" t="s">
        <v>103</v>
      </c>
      <c r="K32" s="16" t="s">
        <v>32</v>
      </c>
      <c r="L32" s="16" t="s">
        <v>33</v>
      </c>
      <c r="M32" s="16"/>
      <c r="N32" s="16"/>
      <c r="O32" s="16"/>
      <c r="P32" s="16"/>
      <c r="Q32" s="16">
        <v>1</v>
      </c>
    </row>
    <row r="33" spans="1:17" x14ac:dyDescent="0.25">
      <c r="A33" s="16"/>
      <c r="B33" s="16" t="s">
        <v>26</v>
      </c>
      <c r="C33" s="16" t="s">
        <v>132</v>
      </c>
      <c r="D33" s="16" t="s">
        <v>133</v>
      </c>
      <c r="E33" s="16" t="s">
        <v>134</v>
      </c>
      <c r="F33" s="17">
        <v>3</v>
      </c>
      <c r="G33" s="17">
        <v>995</v>
      </c>
      <c r="H33" s="17">
        <v>25</v>
      </c>
      <c r="I33" s="17">
        <f t="shared" si="0"/>
        <v>970</v>
      </c>
      <c r="J33" s="16" t="s">
        <v>103</v>
      </c>
      <c r="K33" s="16" t="s">
        <v>32</v>
      </c>
      <c r="L33" s="16" t="s">
        <v>33</v>
      </c>
      <c r="M33" s="16"/>
      <c r="N33" s="16"/>
      <c r="O33" s="16"/>
      <c r="P33" s="16"/>
      <c r="Q33" s="16">
        <v>1</v>
      </c>
    </row>
    <row r="34" spans="1:17" x14ac:dyDescent="0.25">
      <c r="A34" s="16"/>
      <c r="B34" s="16" t="s">
        <v>26</v>
      </c>
      <c r="C34" s="16" t="s">
        <v>135</v>
      </c>
      <c r="D34" s="16" t="s">
        <v>136</v>
      </c>
      <c r="E34" s="16" t="s">
        <v>137</v>
      </c>
      <c r="F34" s="17">
        <v>4</v>
      </c>
      <c r="G34" s="17">
        <v>1075</v>
      </c>
      <c r="H34" s="17">
        <v>25</v>
      </c>
      <c r="I34" s="17">
        <f t="shared" si="0"/>
        <v>1050</v>
      </c>
      <c r="J34" s="16" t="s">
        <v>103</v>
      </c>
      <c r="K34" s="16" t="s">
        <v>32</v>
      </c>
      <c r="L34" s="16" t="s">
        <v>33</v>
      </c>
      <c r="M34" s="16"/>
      <c r="N34" s="16"/>
      <c r="O34" s="16"/>
      <c r="P34" s="16"/>
      <c r="Q34" s="16">
        <v>1</v>
      </c>
    </row>
    <row r="35" spans="1:17" x14ac:dyDescent="0.25">
      <c r="A35" s="16"/>
      <c r="B35" s="16" t="s">
        <v>26</v>
      </c>
      <c r="C35" s="16" t="s">
        <v>138</v>
      </c>
      <c r="D35" s="16" t="s">
        <v>139</v>
      </c>
      <c r="E35" s="16" t="s">
        <v>140</v>
      </c>
      <c r="F35" s="17">
        <v>7</v>
      </c>
      <c r="G35" s="17">
        <v>610</v>
      </c>
      <c r="H35" s="17">
        <v>30</v>
      </c>
      <c r="I35" s="17">
        <f t="shared" si="0"/>
        <v>580</v>
      </c>
      <c r="J35" s="16" t="s">
        <v>103</v>
      </c>
      <c r="K35" s="16" t="s">
        <v>32</v>
      </c>
      <c r="L35" s="16" t="s">
        <v>33</v>
      </c>
      <c r="M35" s="16"/>
      <c r="N35" s="16"/>
      <c r="O35" s="16"/>
      <c r="P35" s="16"/>
      <c r="Q35" s="16">
        <v>1</v>
      </c>
    </row>
    <row r="36" spans="1:17" x14ac:dyDescent="0.25">
      <c r="A36" s="16" t="s">
        <v>141</v>
      </c>
      <c r="B36" s="16" t="s">
        <v>26</v>
      </c>
      <c r="C36" s="16" t="s">
        <v>142</v>
      </c>
      <c r="D36" s="16"/>
      <c r="E36" s="16" t="s">
        <v>143</v>
      </c>
      <c r="F36" s="17">
        <v>5</v>
      </c>
      <c r="G36" s="17">
        <v>0</v>
      </c>
      <c r="H36" s="17">
        <v>40</v>
      </c>
      <c r="I36" s="17">
        <f t="shared" si="0"/>
        <v>-40</v>
      </c>
      <c r="J36" s="16" t="s">
        <v>103</v>
      </c>
      <c r="K36" s="16" t="s">
        <v>32</v>
      </c>
      <c r="L36" s="16" t="s">
        <v>33</v>
      </c>
      <c r="M36" s="16"/>
      <c r="N36" s="16"/>
      <c r="O36" s="16"/>
      <c r="P36" s="16"/>
      <c r="Q36" s="16">
        <v>1</v>
      </c>
    </row>
    <row r="38" spans="1:17" x14ac:dyDescent="0.25">
      <c r="D38" s="1">
        <f>COUNTA(D3:D36)</f>
        <v>33</v>
      </c>
      <c r="G38" s="1">
        <f t="shared" ref="G38:Q38" si="1">SUBTOTAL(9,G3:G36)</f>
        <v>26835</v>
      </c>
      <c r="H38" s="1">
        <f t="shared" si="1"/>
        <v>920</v>
      </c>
      <c r="I38" s="1">
        <f t="shared" si="1"/>
        <v>25915</v>
      </c>
      <c r="J38" s="1">
        <f t="shared" si="1"/>
        <v>0</v>
      </c>
      <c r="K38" s="1">
        <f t="shared" si="1"/>
        <v>0</v>
      </c>
      <c r="L38" s="1">
        <f t="shared" si="1"/>
        <v>0</v>
      </c>
      <c r="M38" s="1">
        <f t="shared" si="1"/>
        <v>0</v>
      </c>
      <c r="N38" s="1">
        <f t="shared" si="1"/>
        <v>0</v>
      </c>
      <c r="O38" s="1">
        <f t="shared" si="1"/>
        <v>0</v>
      </c>
      <c r="P38" s="1">
        <f t="shared" si="1"/>
        <v>0</v>
      </c>
      <c r="Q38" s="1">
        <f t="shared" si="1"/>
        <v>34</v>
      </c>
    </row>
    <row r="39" spans="1:17" x14ac:dyDescent="0.25">
      <c r="H39">
        <f>-7*17</f>
        <v>-119</v>
      </c>
    </row>
    <row r="40" spans="1:17" x14ac:dyDescent="0.25">
      <c r="A40" s="1" t="s">
        <v>26</v>
      </c>
      <c r="C40" s="34" t="s">
        <v>144</v>
      </c>
      <c r="D40" s="34"/>
      <c r="E40" s="4" t="s">
        <v>145</v>
      </c>
      <c r="H40">
        <f>-2*25</f>
        <v>-50</v>
      </c>
      <c r="K40" s="11" t="s">
        <v>31</v>
      </c>
      <c r="L40" s="11" t="s">
        <v>146</v>
      </c>
      <c r="M40" s="11" t="s">
        <v>145</v>
      </c>
      <c r="O40" s="4" t="s">
        <v>147</v>
      </c>
    </row>
    <row r="41" spans="1:17" x14ac:dyDescent="0.25">
      <c r="A41" t="s">
        <v>33</v>
      </c>
      <c r="B41" s="3" t="s">
        <v>148</v>
      </c>
      <c r="C41" s="35">
        <f>SUMIFS(I$3:I$36,B$3:B$36,A$40,L$3:L$36,A$41)</f>
        <v>25915</v>
      </c>
      <c r="D41" s="35"/>
      <c r="E41" s="3">
        <f>SUMIFS(Q$3:Q$36,B$3:B$36,A$40,L$3:L$36,A$41)</f>
        <v>34</v>
      </c>
      <c r="F41" t="s">
        <v>149</v>
      </c>
      <c r="H41">
        <f>-3*30</f>
        <v>-90</v>
      </c>
      <c r="K41" t="s">
        <v>150</v>
      </c>
      <c r="L41">
        <f>SUMIFS(G$3:G$36,J$3:J$36,K$40)</f>
        <v>6915</v>
      </c>
      <c r="M41">
        <f>SUMIFS(Q$3:Q$36,J$3:J$36,K$40)-INT(COUNTIFS(J$3:J$36,K$40,M$3:M$36,"*gộp*")/2)</f>
        <v>12</v>
      </c>
      <c r="O41" t="s">
        <v>151</v>
      </c>
      <c r="P41">
        <f>L46</f>
        <v>6656</v>
      </c>
    </row>
    <row r="42" spans="1:17" x14ac:dyDescent="0.25">
      <c r="B42" s="2" t="s">
        <v>152</v>
      </c>
      <c r="C42" s="36">
        <v>0</v>
      </c>
      <c r="D42" s="36"/>
      <c r="K42" t="s">
        <v>153</v>
      </c>
      <c r="L42">
        <f>SUM(H39:H41)</f>
        <v>-259</v>
      </c>
      <c r="M42">
        <f>SUMIFS(Q$3:Q$36,J$3:J$36,K$40)-INT(COUNTIFS(J$3:J$36,K$40,M$3:M$36,"*gộp*")/2)</f>
        <v>12</v>
      </c>
      <c r="O42" t="s">
        <v>32</v>
      </c>
      <c r="P42">
        <f>L54</f>
        <v>6372</v>
      </c>
    </row>
    <row r="43" spans="1:17" x14ac:dyDescent="0.25">
      <c r="B43" s="2" t="s">
        <v>154</v>
      </c>
      <c r="C43" s="36">
        <f>-SUMIFS(I$3:I$36,B$3:B$36,A$40,P$3:P$36,"xx",N$3:N$36,"x")</f>
        <v>0</v>
      </c>
      <c r="D43" s="36"/>
      <c r="E43" s="2">
        <f>SUMIFS(Q$3:Q$36,B$3:B$36,A$40,P$3:P$36,"xx",N$3:N$36,"x")</f>
        <v>0</v>
      </c>
      <c r="K43" t="s">
        <v>155</v>
      </c>
      <c r="O43" t="s">
        <v>103</v>
      </c>
      <c r="P43">
        <f>L62</f>
        <v>13015</v>
      </c>
    </row>
    <row r="44" spans="1:17" x14ac:dyDescent="0.25">
      <c r="B44" s="4" t="s">
        <v>156</v>
      </c>
      <c r="C44" s="34">
        <f>SUBTOTAL(9,C41:C43)</f>
        <v>25915</v>
      </c>
      <c r="D44" s="34"/>
      <c r="E44">
        <f>E41</f>
        <v>34</v>
      </c>
      <c r="K44" s="12" t="s">
        <v>157</v>
      </c>
      <c r="O44" t="s">
        <v>158</v>
      </c>
      <c r="P44">
        <f>-C48</f>
        <v>-25915</v>
      </c>
    </row>
    <row r="45" spans="1:17" x14ac:dyDescent="0.25">
      <c r="B45" s="2" t="s">
        <v>159</v>
      </c>
      <c r="C45" s="32"/>
      <c r="D45" s="32"/>
      <c r="K45" s="2" t="s">
        <v>160</v>
      </c>
      <c r="O45" s="4" t="s">
        <v>161</v>
      </c>
      <c r="P45" s="4">
        <f>SUBTOTAL(9,P41:P44)</f>
        <v>128</v>
      </c>
    </row>
    <row r="46" spans="1:17" x14ac:dyDescent="0.25">
      <c r="B46" s="13" t="s">
        <v>162</v>
      </c>
      <c r="C46" s="32"/>
      <c r="D46" s="32"/>
      <c r="L46" s="14">
        <f>SUBTOTAL(9,L41:L45)</f>
        <v>6656</v>
      </c>
      <c r="M46" s="14">
        <f>M41</f>
        <v>12</v>
      </c>
    </row>
    <row r="48" spans="1:17" x14ac:dyDescent="0.25">
      <c r="B48" s="1" t="s">
        <v>163</v>
      </c>
      <c r="C48" s="33">
        <f>C44+C45+C46</f>
        <v>25915</v>
      </c>
      <c r="D48" s="33"/>
      <c r="E48" s="1" t="s">
        <v>164</v>
      </c>
      <c r="K48" s="11" t="s">
        <v>32</v>
      </c>
      <c r="L48" s="11" t="s">
        <v>146</v>
      </c>
      <c r="M48" s="11" t="s">
        <v>145</v>
      </c>
    </row>
    <row r="49" spans="11:13" x14ac:dyDescent="0.25">
      <c r="K49" t="s">
        <v>150</v>
      </c>
      <c r="L49">
        <f>SUMIFS(G$3:G$36,J$3:J$36,K$48)</f>
        <v>6595</v>
      </c>
      <c r="M49">
        <f>SUMIFS(Q$3:Q$36,J$3:J$36,K$48)-INT(COUNTIFS(J$3:J$36,K$48,M$3:M$36,"*gộp*")/2)</f>
        <v>8</v>
      </c>
    </row>
    <row r="50" spans="11:13" x14ac:dyDescent="0.25">
      <c r="K50" t="s">
        <v>153</v>
      </c>
      <c r="L50">
        <f>-SUMIFS(H$3:H$36,J$3:J$36,K$48)+M50*5</f>
        <v>-155</v>
      </c>
      <c r="M50">
        <f>SUMIFS(Q$3:Q$36,J$3:J$36,K$48)-INT(COUNTIFS(J$3:J$36,K$48,M$3:M$36,"*gộp*")/2)</f>
        <v>8</v>
      </c>
    </row>
    <row r="51" spans="11:13" x14ac:dyDescent="0.25">
      <c r="K51" t="s">
        <v>155</v>
      </c>
      <c r="L51">
        <f>-M51*2</f>
        <v>-68</v>
      </c>
      <c r="M51">
        <f>E44-(COUNTIFS(M$3:M$36,"*gộp*")/2)-COUNTIFS(M$3:M$36,"*đơn trả*")-COUNTIFS(M$3:M$36,"*hàng tỉnh*")</f>
        <v>34</v>
      </c>
    </row>
    <row r="52" spans="11:13" x14ac:dyDescent="0.25">
      <c r="K52" s="12" t="s">
        <v>157</v>
      </c>
    </row>
    <row r="53" spans="11:13" x14ac:dyDescent="0.25">
      <c r="K53" s="2" t="s">
        <v>160</v>
      </c>
    </row>
    <row r="54" spans="11:13" x14ac:dyDescent="0.25">
      <c r="L54" s="14">
        <f>SUBTOTAL(9,L49:L53)</f>
        <v>6372</v>
      </c>
      <c r="M54" s="14">
        <f>M49</f>
        <v>8</v>
      </c>
    </row>
    <row r="56" spans="11:13" x14ac:dyDescent="0.25">
      <c r="K56" s="11" t="s">
        <v>103</v>
      </c>
      <c r="L56" s="11" t="s">
        <v>146</v>
      </c>
      <c r="M56" s="11" t="s">
        <v>145</v>
      </c>
    </row>
    <row r="57" spans="11:13" x14ac:dyDescent="0.25">
      <c r="K57" t="s">
        <v>150</v>
      </c>
      <c r="L57">
        <f>SUMIFS(G$3:G$36,J$3:J$36,K$56)</f>
        <v>13325</v>
      </c>
      <c r="M57">
        <f>SUMIFS(Q$3:Q$36,J$3:J$36,K$56)-INT(COUNTIFS(J$3:J$36,K$56,M$3:M$36,"*gộp*")/2)</f>
        <v>14</v>
      </c>
    </row>
    <row r="58" spans="11:13" x14ac:dyDescent="0.25">
      <c r="K58" t="s">
        <v>153</v>
      </c>
      <c r="L58">
        <f>-SUMIFS(H$3:H$36,J$3:J$36,K$56)+M58*5</f>
        <v>-310</v>
      </c>
      <c r="M58">
        <f>SUMIFS(Q$3:Q$36,J$3:J$36,K$56)-INT(COUNTIFS(J$3:J$36,K$56,M$3:M$36,"*gộp*")/2)</f>
        <v>14</v>
      </c>
    </row>
    <row r="59" spans="11:13" x14ac:dyDescent="0.25">
      <c r="K59" t="s">
        <v>155</v>
      </c>
    </row>
    <row r="60" spans="11:13" x14ac:dyDescent="0.25">
      <c r="K60" s="12" t="s">
        <v>157</v>
      </c>
    </row>
    <row r="61" spans="11:13" x14ac:dyDescent="0.25">
      <c r="K61" s="2" t="s">
        <v>160</v>
      </c>
    </row>
    <row r="62" spans="11:13" x14ac:dyDescent="0.25">
      <c r="L62" s="14">
        <f>SUBTOTAL(9,L57:L61)</f>
        <v>13015</v>
      </c>
      <c r="M62" s="14">
        <f>M57</f>
        <v>14</v>
      </c>
    </row>
  </sheetData>
  <autoFilter ref="A2:P36" xr:uid="{00000000-0009-0000-0000-000001000000}">
    <sortState xmlns:xlrd2="http://schemas.microsoft.com/office/spreadsheetml/2017/richdata2" ref="A3:P36">
      <sortCondition ref="J2:J36"/>
    </sortState>
  </autoFilter>
  <mergeCells count="8">
    <mergeCell ref="C45:D45"/>
    <mergeCell ref="C46:D46"/>
    <mergeCell ref="C48:D48"/>
    <mergeCell ref="C40:D40"/>
    <mergeCell ref="C41:D41"/>
    <mergeCell ref="C42:D42"/>
    <mergeCell ref="C43:D43"/>
    <mergeCell ref="C44:D44"/>
  </mergeCells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Q63"/>
  <sheetViews>
    <sheetView workbookViewId="0">
      <selection activeCell="M11" sqref="M11"/>
    </sheetView>
  </sheetViews>
  <sheetFormatPr defaultRowHeight="15" x14ac:dyDescent="0.25"/>
  <cols>
    <col min="1" max="1" width="12.7109375" customWidth="1"/>
    <col min="2" max="2" width="17.7109375" customWidth="1"/>
    <col min="3" max="3" width="31" customWidth="1"/>
    <col min="4" max="4" width="9.85546875" customWidth="1"/>
    <col min="5" max="5" width="65.85546875" customWidth="1"/>
    <col min="6" max="6" width="10.855468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0.42578125" customWidth="1"/>
    <col min="13" max="13" width="15.7109375" bestFit="1" customWidth="1"/>
    <col min="14" max="14" width="9.7109375" customWidth="1"/>
    <col min="15" max="15" width="10.42578125" customWidth="1"/>
    <col min="16" max="16" width="7" bestFit="1" customWidth="1"/>
    <col min="17" max="17" width="6.42578125" customWidth="1"/>
  </cols>
  <sheetData>
    <row r="2" spans="1:17" x14ac:dyDescent="0.25">
      <c r="A2" s="15" t="s">
        <v>10</v>
      </c>
      <c r="B2" s="15" t="s">
        <v>11</v>
      </c>
      <c r="C2" s="15" t="s">
        <v>12</v>
      </c>
      <c r="D2" s="15" t="s">
        <v>13</v>
      </c>
      <c r="E2" s="15" t="s">
        <v>14</v>
      </c>
      <c r="F2" s="15" t="s">
        <v>15</v>
      </c>
      <c r="G2" s="15" t="s">
        <v>16</v>
      </c>
      <c r="H2" s="15" t="s">
        <v>17</v>
      </c>
      <c r="I2" s="15" t="s">
        <v>18</v>
      </c>
      <c r="J2" s="15" t="s">
        <v>19</v>
      </c>
      <c r="K2" s="15" t="s">
        <v>20</v>
      </c>
      <c r="L2" s="15" t="s">
        <v>21</v>
      </c>
      <c r="M2" s="15" t="s">
        <v>22</v>
      </c>
      <c r="N2" s="15" t="s">
        <v>23</v>
      </c>
      <c r="O2" s="15" t="s">
        <v>24</v>
      </c>
      <c r="P2" s="15" t="s">
        <v>25</v>
      </c>
      <c r="Q2" s="15" t="s">
        <v>165</v>
      </c>
    </row>
    <row r="3" spans="1:17" x14ac:dyDescent="0.25">
      <c r="A3" s="16" t="s">
        <v>141</v>
      </c>
      <c r="B3" s="16" t="s">
        <v>26</v>
      </c>
      <c r="C3" s="16" t="s">
        <v>166</v>
      </c>
      <c r="D3" s="16"/>
      <c r="E3" s="16" t="s">
        <v>167</v>
      </c>
      <c r="F3" s="16" t="s">
        <v>168</v>
      </c>
      <c r="G3" s="17">
        <v>1600</v>
      </c>
      <c r="H3" s="17">
        <v>40</v>
      </c>
      <c r="I3" s="17">
        <f t="shared" ref="I3:I37" si="0">G3-H3</f>
        <v>1560</v>
      </c>
      <c r="J3" s="16" t="s">
        <v>169</v>
      </c>
      <c r="K3" s="16" t="s">
        <v>32</v>
      </c>
      <c r="L3" s="16" t="s">
        <v>170</v>
      </c>
      <c r="M3" s="16"/>
      <c r="N3" s="16"/>
      <c r="O3" s="16"/>
      <c r="P3" s="16"/>
      <c r="Q3" s="16">
        <v>1</v>
      </c>
    </row>
    <row r="4" spans="1:17" x14ac:dyDescent="0.25">
      <c r="A4" s="16"/>
      <c r="B4" s="16" t="s">
        <v>26</v>
      </c>
      <c r="C4" s="16" t="s">
        <v>171</v>
      </c>
      <c r="D4" s="16" t="s">
        <v>172</v>
      </c>
      <c r="E4" s="16" t="s">
        <v>173</v>
      </c>
      <c r="F4" s="17">
        <v>6</v>
      </c>
      <c r="G4" s="17">
        <v>795</v>
      </c>
      <c r="H4" s="17">
        <v>25</v>
      </c>
      <c r="I4" s="17">
        <f t="shared" si="0"/>
        <v>770</v>
      </c>
      <c r="J4" s="16" t="s">
        <v>169</v>
      </c>
      <c r="K4" s="16" t="s">
        <v>32</v>
      </c>
      <c r="L4" s="16" t="s">
        <v>170</v>
      </c>
      <c r="M4" s="16"/>
      <c r="N4" s="16"/>
      <c r="O4" s="16"/>
      <c r="P4" s="16"/>
      <c r="Q4" s="16">
        <v>1</v>
      </c>
    </row>
    <row r="5" spans="1:17" x14ac:dyDescent="0.25">
      <c r="A5" s="16"/>
      <c r="B5" s="16" t="s">
        <v>26</v>
      </c>
      <c r="C5" s="16" t="s">
        <v>174</v>
      </c>
      <c r="D5" s="16" t="s">
        <v>175</v>
      </c>
      <c r="E5" s="16" t="s">
        <v>176</v>
      </c>
      <c r="F5" s="16" t="s">
        <v>51</v>
      </c>
      <c r="G5" s="17">
        <v>570</v>
      </c>
      <c r="H5" s="17">
        <v>30</v>
      </c>
      <c r="I5" s="17">
        <f t="shared" si="0"/>
        <v>540</v>
      </c>
      <c r="J5" s="16" t="s">
        <v>169</v>
      </c>
      <c r="K5" s="16" t="s">
        <v>32</v>
      </c>
      <c r="L5" s="16" t="s">
        <v>170</v>
      </c>
      <c r="M5" s="16"/>
      <c r="N5" s="16"/>
      <c r="O5" s="16"/>
      <c r="P5" s="16"/>
      <c r="Q5" s="16">
        <v>1</v>
      </c>
    </row>
    <row r="6" spans="1:17" x14ac:dyDescent="0.25">
      <c r="A6" s="16"/>
      <c r="B6" s="16" t="s">
        <v>26</v>
      </c>
      <c r="C6" s="16" t="s">
        <v>177</v>
      </c>
      <c r="D6" s="16" t="s">
        <v>178</v>
      </c>
      <c r="E6" s="16" t="s">
        <v>179</v>
      </c>
      <c r="F6" s="16" t="s">
        <v>93</v>
      </c>
      <c r="G6" s="17">
        <v>0</v>
      </c>
      <c r="H6" s="17">
        <v>25</v>
      </c>
      <c r="I6" s="17">
        <f t="shared" si="0"/>
        <v>-25</v>
      </c>
      <c r="J6" s="16" t="s">
        <v>169</v>
      </c>
      <c r="K6" s="16" t="s">
        <v>32</v>
      </c>
      <c r="L6" s="16" t="s">
        <v>170</v>
      </c>
      <c r="M6" s="16"/>
      <c r="N6" s="16"/>
      <c r="O6" s="16"/>
      <c r="P6" s="16"/>
      <c r="Q6" s="16">
        <v>1</v>
      </c>
    </row>
    <row r="7" spans="1:17" x14ac:dyDescent="0.25">
      <c r="A7" s="16"/>
      <c r="B7" s="16" t="s">
        <v>26</v>
      </c>
      <c r="C7" s="16" t="s">
        <v>180</v>
      </c>
      <c r="D7" s="16" t="s">
        <v>181</v>
      </c>
      <c r="E7" s="16" t="s">
        <v>182</v>
      </c>
      <c r="F7" s="16" t="s">
        <v>30</v>
      </c>
      <c r="G7" s="17">
        <v>1775</v>
      </c>
      <c r="H7" s="17">
        <v>25</v>
      </c>
      <c r="I7" s="17">
        <f t="shared" si="0"/>
        <v>1750</v>
      </c>
      <c r="J7" s="16" t="s">
        <v>169</v>
      </c>
      <c r="K7" s="16" t="s">
        <v>32</v>
      </c>
      <c r="L7" s="16" t="s">
        <v>170</v>
      </c>
      <c r="M7" s="16"/>
      <c r="N7" s="16"/>
      <c r="O7" s="16"/>
      <c r="P7" s="16"/>
      <c r="Q7" s="16">
        <v>1</v>
      </c>
    </row>
    <row r="8" spans="1:17" x14ac:dyDescent="0.25">
      <c r="A8" s="16"/>
      <c r="B8" s="16" t="s">
        <v>26</v>
      </c>
      <c r="C8" s="16" t="s">
        <v>183</v>
      </c>
      <c r="D8" s="16" t="s">
        <v>184</v>
      </c>
      <c r="E8" s="16" t="s">
        <v>185</v>
      </c>
      <c r="F8" s="16" t="s">
        <v>30</v>
      </c>
      <c r="G8" s="17">
        <v>745</v>
      </c>
      <c r="H8" s="17">
        <v>25</v>
      </c>
      <c r="I8" s="17">
        <f t="shared" si="0"/>
        <v>720</v>
      </c>
      <c r="J8" s="16" t="s">
        <v>169</v>
      </c>
      <c r="K8" s="16" t="s">
        <v>32</v>
      </c>
      <c r="L8" s="16" t="s">
        <v>170</v>
      </c>
      <c r="M8" s="16"/>
      <c r="N8" s="16"/>
      <c r="O8" s="16"/>
      <c r="P8" s="16"/>
      <c r="Q8" s="16">
        <v>1</v>
      </c>
    </row>
    <row r="9" spans="1:17" x14ac:dyDescent="0.25">
      <c r="A9" s="16"/>
      <c r="B9" s="16" t="s">
        <v>26</v>
      </c>
      <c r="C9" s="16" t="s">
        <v>186</v>
      </c>
      <c r="D9" s="16" t="s">
        <v>187</v>
      </c>
      <c r="E9" s="16" t="s">
        <v>188</v>
      </c>
      <c r="F9" s="17">
        <v>8</v>
      </c>
      <c r="G9" s="17">
        <v>1620</v>
      </c>
      <c r="H9" s="17">
        <v>30</v>
      </c>
      <c r="I9" s="17">
        <f t="shared" si="0"/>
        <v>1590</v>
      </c>
      <c r="J9" s="16" t="s">
        <v>169</v>
      </c>
      <c r="K9" s="16" t="s">
        <v>32</v>
      </c>
      <c r="L9" s="16" t="s">
        <v>170</v>
      </c>
      <c r="M9" s="16"/>
      <c r="N9" s="16"/>
      <c r="O9" s="16"/>
      <c r="P9" s="16"/>
      <c r="Q9" s="16">
        <v>1</v>
      </c>
    </row>
    <row r="10" spans="1:17" x14ac:dyDescent="0.25">
      <c r="A10" s="16"/>
      <c r="B10" s="16" t="s">
        <v>26</v>
      </c>
      <c r="C10" s="16" t="s">
        <v>189</v>
      </c>
      <c r="D10" s="16" t="s">
        <v>190</v>
      </c>
      <c r="E10" s="16" t="s">
        <v>191</v>
      </c>
      <c r="F10" s="17">
        <v>8</v>
      </c>
      <c r="G10" s="17">
        <v>1000</v>
      </c>
      <c r="H10" s="17">
        <v>30</v>
      </c>
      <c r="I10" s="17">
        <f t="shared" si="0"/>
        <v>970</v>
      </c>
      <c r="J10" s="16" t="s">
        <v>169</v>
      </c>
      <c r="K10" s="16" t="s">
        <v>32</v>
      </c>
      <c r="L10" s="16" t="s">
        <v>170</v>
      </c>
      <c r="M10" s="16"/>
      <c r="N10" s="16"/>
      <c r="O10" s="16"/>
      <c r="P10" s="16"/>
      <c r="Q10" s="16">
        <v>1</v>
      </c>
    </row>
    <row r="11" spans="1:17" x14ac:dyDescent="0.25">
      <c r="A11" s="16"/>
      <c r="B11" s="16" t="s">
        <v>26</v>
      </c>
      <c r="C11" s="16" t="s">
        <v>192</v>
      </c>
      <c r="D11" s="16" t="s">
        <v>193</v>
      </c>
      <c r="E11" s="16" t="s">
        <v>194</v>
      </c>
      <c r="F11" s="16" t="s">
        <v>30</v>
      </c>
      <c r="G11" s="17">
        <v>0</v>
      </c>
      <c r="H11" s="17">
        <v>25</v>
      </c>
      <c r="I11" s="17">
        <f t="shared" si="0"/>
        <v>-25</v>
      </c>
      <c r="J11" s="16" t="s">
        <v>169</v>
      </c>
      <c r="K11" s="16" t="s">
        <v>32</v>
      </c>
      <c r="L11" s="16" t="s">
        <v>170</v>
      </c>
      <c r="M11" s="18" t="s">
        <v>195</v>
      </c>
      <c r="N11" s="16"/>
      <c r="O11" s="16"/>
      <c r="P11" s="16"/>
      <c r="Q11" s="16">
        <v>1</v>
      </c>
    </row>
    <row r="12" spans="1:17" s="21" customFormat="1" x14ac:dyDescent="0.25">
      <c r="A12" s="19"/>
      <c r="B12" s="19" t="s">
        <v>26</v>
      </c>
      <c r="C12" s="19" t="s">
        <v>196</v>
      </c>
      <c r="D12" s="19" t="s">
        <v>197</v>
      </c>
      <c r="E12" s="19" t="s">
        <v>198</v>
      </c>
      <c r="F12" s="19" t="s">
        <v>40</v>
      </c>
      <c r="G12" s="20">
        <v>0</v>
      </c>
      <c r="H12" s="20">
        <v>35</v>
      </c>
      <c r="I12" s="20">
        <f t="shared" si="0"/>
        <v>-35</v>
      </c>
      <c r="J12" s="19" t="s">
        <v>169</v>
      </c>
      <c r="K12" s="19" t="s">
        <v>32</v>
      </c>
      <c r="L12" s="19" t="s">
        <v>170</v>
      </c>
      <c r="M12" s="19" t="s">
        <v>68</v>
      </c>
      <c r="N12" s="19"/>
      <c r="O12" s="19"/>
      <c r="P12" s="19"/>
      <c r="Q12" s="19">
        <v>1</v>
      </c>
    </row>
    <row r="13" spans="1:17" x14ac:dyDescent="0.25">
      <c r="A13" s="16"/>
      <c r="B13" s="16" t="s">
        <v>26</v>
      </c>
      <c r="C13" s="16" t="s">
        <v>199</v>
      </c>
      <c r="D13" s="16" t="s">
        <v>200</v>
      </c>
      <c r="E13" s="16" t="s">
        <v>201</v>
      </c>
      <c r="F13" s="16" t="s">
        <v>30</v>
      </c>
      <c r="G13" s="17">
        <v>0</v>
      </c>
      <c r="H13" s="17">
        <v>25</v>
      </c>
      <c r="I13" s="17">
        <f t="shared" si="0"/>
        <v>-25</v>
      </c>
      <c r="J13" s="16" t="s">
        <v>169</v>
      </c>
      <c r="K13" s="16" t="s">
        <v>32</v>
      </c>
      <c r="L13" s="16" t="s">
        <v>170</v>
      </c>
      <c r="M13" s="16"/>
      <c r="N13" s="16"/>
      <c r="O13" s="16"/>
      <c r="P13" s="16"/>
      <c r="Q13" s="16">
        <v>1</v>
      </c>
    </row>
    <row r="14" spans="1:17" x14ac:dyDescent="0.25">
      <c r="A14" s="16" t="s">
        <v>141</v>
      </c>
      <c r="B14" s="16" t="s">
        <v>26</v>
      </c>
      <c r="C14" s="16" t="s">
        <v>202</v>
      </c>
      <c r="D14" s="16"/>
      <c r="E14" s="16" t="s">
        <v>203</v>
      </c>
      <c r="F14" s="16" t="s">
        <v>93</v>
      </c>
      <c r="G14" s="17">
        <v>30</v>
      </c>
      <c r="H14" s="17">
        <v>30</v>
      </c>
      <c r="I14" s="17">
        <f t="shared" si="0"/>
        <v>0</v>
      </c>
      <c r="J14" s="16" t="s">
        <v>32</v>
      </c>
      <c r="K14" s="16" t="s">
        <v>32</v>
      </c>
      <c r="L14" s="16" t="s">
        <v>170</v>
      </c>
      <c r="M14" s="16"/>
      <c r="N14" s="16"/>
      <c r="O14" s="16"/>
      <c r="P14" s="16"/>
      <c r="Q14" s="16">
        <v>1</v>
      </c>
    </row>
    <row r="15" spans="1:17" x14ac:dyDescent="0.25">
      <c r="A15" s="16" t="s">
        <v>141</v>
      </c>
      <c r="B15" s="16" t="s">
        <v>26</v>
      </c>
      <c r="C15" s="16" t="s">
        <v>204</v>
      </c>
      <c r="D15" s="16"/>
      <c r="E15" s="16" t="s">
        <v>205</v>
      </c>
      <c r="F15" s="16" t="s">
        <v>82</v>
      </c>
      <c r="G15" s="17">
        <v>1010</v>
      </c>
      <c r="H15" s="17">
        <v>30</v>
      </c>
      <c r="I15" s="17">
        <f t="shared" si="0"/>
        <v>980</v>
      </c>
      <c r="J15" s="16" t="s">
        <v>32</v>
      </c>
      <c r="K15" s="16" t="s">
        <v>32</v>
      </c>
      <c r="L15" s="16" t="s">
        <v>170</v>
      </c>
      <c r="M15" s="16"/>
      <c r="N15" s="16"/>
      <c r="O15" s="16"/>
      <c r="P15" s="16"/>
      <c r="Q15" s="16">
        <v>1</v>
      </c>
    </row>
    <row r="16" spans="1:17" x14ac:dyDescent="0.25">
      <c r="A16" s="16"/>
      <c r="B16" s="16" t="s">
        <v>26</v>
      </c>
      <c r="C16" s="16" t="s">
        <v>206</v>
      </c>
      <c r="D16" s="16" t="s">
        <v>207</v>
      </c>
      <c r="E16" s="16" t="s">
        <v>208</v>
      </c>
      <c r="F16" s="16" t="s">
        <v>75</v>
      </c>
      <c r="G16" s="17">
        <v>900</v>
      </c>
      <c r="H16" s="17">
        <v>20</v>
      </c>
      <c r="I16" s="17">
        <f t="shared" si="0"/>
        <v>880</v>
      </c>
      <c r="J16" s="16" t="s">
        <v>32</v>
      </c>
      <c r="K16" s="16" t="s">
        <v>32</v>
      </c>
      <c r="L16" s="16" t="s">
        <v>170</v>
      </c>
      <c r="M16" s="16"/>
      <c r="N16" s="16"/>
      <c r="O16" s="16"/>
      <c r="P16" s="16"/>
      <c r="Q16" s="16">
        <v>1</v>
      </c>
    </row>
    <row r="17" spans="1:17" x14ac:dyDescent="0.25">
      <c r="A17" s="16"/>
      <c r="B17" s="16" t="s">
        <v>26</v>
      </c>
      <c r="C17" s="16" t="s">
        <v>97</v>
      </c>
      <c r="D17" s="16" t="s">
        <v>209</v>
      </c>
      <c r="E17" s="16" t="s">
        <v>99</v>
      </c>
      <c r="F17" s="17">
        <v>2</v>
      </c>
      <c r="G17" s="17">
        <v>570</v>
      </c>
      <c r="H17" s="17">
        <v>30</v>
      </c>
      <c r="I17" s="17">
        <f t="shared" si="0"/>
        <v>540</v>
      </c>
      <c r="J17" s="16" t="s">
        <v>32</v>
      </c>
      <c r="K17" s="16" t="s">
        <v>32</v>
      </c>
      <c r="L17" s="16" t="s">
        <v>170</v>
      </c>
      <c r="M17" s="16"/>
      <c r="N17" s="16"/>
      <c r="O17" s="16"/>
      <c r="P17" s="16"/>
      <c r="Q17" s="16">
        <v>1</v>
      </c>
    </row>
    <row r="18" spans="1:17" x14ac:dyDescent="0.25">
      <c r="A18" s="16"/>
      <c r="B18" s="16" t="s">
        <v>26</v>
      </c>
      <c r="C18" s="16" t="s">
        <v>210</v>
      </c>
      <c r="D18" s="16" t="s">
        <v>211</v>
      </c>
      <c r="E18" s="16" t="s">
        <v>212</v>
      </c>
      <c r="F18" s="17">
        <v>2</v>
      </c>
      <c r="G18" s="17">
        <v>0</v>
      </c>
      <c r="H18" s="17">
        <v>30</v>
      </c>
      <c r="I18" s="17">
        <f t="shared" si="0"/>
        <v>-30</v>
      </c>
      <c r="J18" s="16" t="s">
        <v>32</v>
      </c>
      <c r="K18" s="16" t="s">
        <v>32</v>
      </c>
      <c r="L18" s="16" t="s">
        <v>170</v>
      </c>
      <c r="M18" s="16"/>
      <c r="N18" s="16"/>
      <c r="O18" s="16"/>
      <c r="P18" s="16"/>
      <c r="Q18" s="16">
        <v>1</v>
      </c>
    </row>
    <row r="19" spans="1:17" x14ac:dyDescent="0.25">
      <c r="A19" s="16"/>
      <c r="B19" s="16" t="s">
        <v>26</v>
      </c>
      <c r="C19" s="16" t="s">
        <v>213</v>
      </c>
      <c r="D19" s="16" t="s">
        <v>214</v>
      </c>
      <c r="E19" s="16" t="s">
        <v>215</v>
      </c>
      <c r="F19" s="16" t="s">
        <v>89</v>
      </c>
      <c r="G19" s="17">
        <v>570</v>
      </c>
      <c r="H19" s="17">
        <v>30</v>
      </c>
      <c r="I19" s="17">
        <f t="shared" si="0"/>
        <v>540</v>
      </c>
      <c r="J19" s="16" t="s">
        <v>32</v>
      </c>
      <c r="K19" s="16" t="s">
        <v>32</v>
      </c>
      <c r="L19" s="16" t="s">
        <v>170</v>
      </c>
      <c r="M19" s="16"/>
      <c r="N19" s="16"/>
      <c r="O19" s="16"/>
      <c r="P19" s="16"/>
      <c r="Q19" s="16">
        <v>1</v>
      </c>
    </row>
    <row r="20" spans="1:17" s="21" customFormat="1" x14ac:dyDescent="0.25">
      <c r="A20" s="19"/>
      <c r="B20" s="19" t="s">
        <v>26</v>
      </c>
      <c r="C20" s="19" t="s">
        <v>216</v>
      </c>
      <c r="D20" s="19" t="s">
        <v>217</v>
      </c>
      <c r="E20" s="19" t="s">
        <v>218</v>
      </c>
      <c r="F20" s="19" t="s">
        <v>82</v>
      </c>
      <c r="G20" s="20">
        <v>425</v>
      </c>
      <c r="H20" s="20">
        <v>25</v>
      </c>
      <c r="I20" s="20">
        <f t="shared" si="0"/>
        <v>400</v>
      </c>
      <c r="J20" s="19" t="s">
        <v>32</v>
      </c>
      <c r="K20" s="19" t="s">
        <v>32</v>
      </c>
      <c r="L20" s="19" t="s">
        <v>170</v>
      </c>
      <c r="M20" s="19" t="s">
        <v>68</v>
      </c>
      <c r="N20" s="19"/>
      <c r="O20" s="19"/>
      <c r="P20" s="19"/>
      <c r="Q20" s="19">
        <v>1</v>
      </c>
    </row>
    <row r="21" spans="1:17" x14ac:dyDescent="0.25">
      <c r="A21" s="16"/>
      <c r="B21" s="16" t="s">
        <v>26</v>
      </c>
      <c r="C21" s="16" t="s">
        <v>219</v>
      </c>
      <c r="D21" s="16" t="s">
        <v>220</v>
      </c>
      <c r="E21" s="16" t="s">
        <v>221</v>
      </c>
      <c r="F21" s="16" t="s">
        <v>75</v>
      </c>
      <c r="G21" s="17">
        <v>0</v>
      </c>
      <c r="H21" s="17">
        <v>20</v>
      </c>
      <c r="I21" s="17">
        <f t="shared" si="0"/>
        <v>-20</v>
      </c>
      <c r="J21" s="16" t="s">
        <v>32</v>
      </c>
      <c r="K21" s="16" t="s">
        <v>32</v>
      </c>
      <c r="L21" s="16" t="s">
        <v>170</v>
      </c>
      <c r="M21" s="16"/>
      <c r="N21" s="16"/>
      <c r="O21" s="16"/>
      <c r="P21" s="16"/>
      <c r="Q21" s="16">
        <v>1</v>
      </c>
    </row>
    <row r="22" spans="1:17" x14ac:dyDescent="0.25">
      <c r="A22" s="16"/>
      <c r="B22" s="16" t="s">
        <v>26</v>
      </c>
      <c r="C22" s="16" t="s">
        <v>222</v>
      </c>
      <c r="D22" s="16" t="s">
        <v>223</v>
      </c>
      <c r="E22" s="16" t="s">
        <v>224</v>
      </c>
      <c r="F22" s="17">
        <v>2</v>
      </c>
      <c r="G22" s="17">
        <v>1000</v>
      </c>
      <c r="H22" s="17">
        <v>30</v>
      </c>
      <c r="I22" s="17">
        <f t="shared" si="0"/>
        <v>970</v>
      </c>
      <c r="J22" s="16" t="s">
        <v>32</v>
      </c>
      <c r="K22" s="16" t="s">
        <v>32</v>
      </c>
      <c r="L22" s="16" t="s">
        <v>170</v>
      </c>
      <c r="M22" s="16"/>
      <c r="N22" s="16"/>
      <c r="O22" s="16"/>
      <c r="P22" s="16"/>
      <c r="Q22" s="16">
        <v>1</v>
      </c>
    </row>
    <row r="23" spans="1:17" x14ac:dyDescent="0.25">
      <c r="A23" s="16"/>
      <c r="B23" s="16" t="s">
        <v>26</v>
      </c>
      <c r="C23" s="16" t="s">
        <v>225</v>
      </c>
      <c r="D23" s="16" t="s">
        <v>226</v>
      </c>
      <c r="E23" s="16" t="s">
        <v>227</v>
      </c>
      <c r="F23" s="17">
        <v>12</v>
      </c>
      <c r="G23" s="17">
        <v>0</v>
      </c>
      <c r="H23" s="17">
        <v>35</v>
      </c>
      <c r="I23" s="17">
        <f t="shared" si="0"/>
        <v>-35</v>
      </c>
      <c r="J23" s="16" t="s">
        <v>32</v>
      </c>
      <c r="K23" s="16" t="s">
        <v>32</v>
      </c>
      <c r="L23" s="16" t="s">
        <v>170</v>
      </c>
      <c r="M23" s="16"/>
      <c r="N23" s="16"/>
      <c r="O23" s="16"/>
      <c r="P23" s="16"/>
      <c r="Q23" s="16">
        <v>1</v>
      </c>
    </row>
    <row r="24" spans="1:17" x14ac:dyDescent="0.25">
      <c r="A24" s="16"/>
      <c r="B24" s="16" t="s">
        <v>26</v>
      </c>
      <c r="C24" s="16" t="s">
        <v>228</v>
      </c>
      <c r="D24" s="16" t="s">
        <v>229</v>
      </c>
      <c r="E24" s="16" t="s">
        <v>230</v>
      </c>
      <c r="F24" s="17">
        <v>12</v>
      </c>
      <c r="G24" s="17">
        <v>750</v>
      </c>
      <c r="H24" s="17">
        <v>30</v>
      </c>
      <c r="I24" s="17">
        <f t="shared" si="0"/>
        <v>720</v>
      </c>
      <c r="J24" s="16" t="s">
        <v>32</v>
      </c>
      <c r="K24" s="16" t="s">
        <v>32</v>
      </c>
      <c r="L24" s="16" t="s">
        <v>170</v>
      </c>
      <c r="M24" s="16"/>
      <c r="N24" s="16"/>
      <c r="O24" s="16"/>
      <c r="P24" s="16"/>
      <c r="Q24" s="16">
        <v>1</v>
      </c>
    </row>
    <row r="25" spans="1:17" x14ac:dyDescent="0.25">
      <c r="A25" s="16"/>
      <c r="B25" s="16" t="s">
        <v>26</v>
      </c>
      <c r="C25" s="16" t="s">
        <v>231</v>
      </c>
      <c r="D25" s="16" t="s">
        <v>232</v>
      </c>
      <c r="E25" s="16" t="s">
        <v>233</v>
      </c>
      <c r="F25" s="17">
        <v>3</v>
      </c>
      <c r="G25" s="17">
        <v>1595</v>
      </c>
      <c r="H25" s="17">
        <v>25</v>
      </c>
      <c r="I25" s="17">
        <f t="shared" si="0"/>
        <v>1570</v>
      </c>
      <c r="J25" s="16" t="s">
        <v>103</v>
      </c>
      <c r="K25" s="16" t="s">
        <v>32</v>
      </c>
      <c r="L25" s="16" t="s">
        <v>170</v>
      </c>
      <c r="M25" s="16"/>
      <c r="N25" s="16"/>
      <c r="O25" s="16"/>
      <c r="P25" s="16"/>
      <c r="Q25" s="16">
        <v>1</v>
      </c>
    </row>
    <row r="26" spans="1:17" x14ac:dyDescent="0.25">
      <c r="A26" s="16"/>
      <c r="B26" s="16" t="s">
        <v>26</v>
      </c>
      <c r="C26" s="16" t="s">
        <v>234</v>
      </c>
      <c r="D26" s="16" t="s">
        <v>235</v>
      </c>
      <c r="E26" s="16" t="s">
        <v>236</v>
      </c>
      <c r="F26" s="17">
        <v>7</v>
      </c>
      <c r="G26" s="17">
        <v>520</v>
      </c>
      <c r="H26" s="17">
        <v>30</v>
      </c>
      <c r="I26" s="17">
        <f t="shared" si="0"/>
        <v>490</v>
      </c>
      <c r="J26" s="16" t="s">
        <v>103</v>
      </c>
      <c r="K26" s="16" t="s">
        <v>32</v>
      </c>
      <c r="L26" s="16" t="s">
        <v>170</v>
      </c>
      <c r="M26" s="16"/>
      <c r="N26" s="16"/>
      <c r="O26" s="16"/>
      <c r="P26" s="16"/>
      <c r="Q26" s="16">
        <v>1</v>
      </c>
    </row>
    <row r="27" spans="1:17" x14ac:dyDescent="0.25">
      <c r="A27" s="16"/>
      <c r="B27" s="16" t="s">
        <v>26</v>
      </c>
      <c r="C27" s="16" t="s">
        <v>237</v>
      </c>
      <c r="D27" s="16" t="s">
        <v>238</v>
      </c>
      <c r="E27" s="16" t="s">
        <v>239</v>
      </c>
      <c r="F27" s="17">
        <v>4</v>
      </c>
      <c r="G27" s="17">
        <v>765</v>
      </c>
      <c r="H27" s="17">
        <v>25</v>
      </c>
      <c r="I27" s="17">
        <f t="shared" si="0"/>
        <v>740</v>
      </c>
      <c r="J27" s="16" t="s">
        <v>103</v>
      </c>
      <c r="K27" s="16" t="s">
        <v>32</v>
      </c>
      <c r="L27" s="16" t="s">
        <v>170</v>
      </c>
      <c r="M27" s="16"/>
      <c r="N27" s="16"/>
      <c r="O27" s="16"/>
      <c r="P27" s="16"/>
      <c r="Q27" s="16">
        <v>1</v>
      </c>
    </row>
    <row r="28" spans="1:17" x14ac:dyDescent="0.25">
      <c r="A28" s="16"/>
      <c r="B28" s="16" t="s">
        <v>26</v>
      </c>
      <c r="C28" s="16" t="s">
        <v>240</v>
      </c>
      <c r="D28" s="16" t="s">
        <v>241</v>
      </c>
      <c r="E28" s="16" t="s">
        <v>242</v>
      </c>
      <c r="F28" s="16" t="s">
        <v>243</v>
      </c>
      <c r="G28" s="17">
        <v>895</v>
      </c>
      <c r="H28" s="17">
        <v>35</v>
      </c>
      <c r="I28" s="17">
        <f t="shared" si="0"/>
        <v>860</v>
      </c>
      <c r="J28" s="16" t="s">
        <v>103</v>
      </c>
      <c r="K28" s="16" t="s">
        <v>32</v>
      </c>
      <c r="L28" s="16" t="s">
        <v>170</v>
      </c>
      <c r="M28" s="16"/>
      <c r="N28" s="16"/>
      <c r="O28" s="16"/>
      <c r="P28" s="16"/>
      <c r="Q28" s="16">
        <v>1</v>
      </c>
    </row>
    <row r="29" spans="1:17" x14ac:dyDescent="0.25">
      <c r="A29" s="16"/>
      <c r="B29" s="16" t="s">
        <v>26</v>
      </c>
      <c r="C29" s="16" t="s">
        <v>244</v>
      </c>
      <c r="D29" s="16" t="s">
        <v>245</v>
      </c>
      <c r="E29" s="16" t="s">
        <v>246</v>
      </c>
      <c r="F29" s="17">
        <v>5</v>
      </c>
      <c r="G29" s="17">
        <v>0</v>
      </c>
      <c r="H29" s="17">
        <v>25</v>
      </c>
      <c r="I29" s="17">
        <f t="shared" si="0"/>
        <v>-25</v>
      </c>
      <c r="J29" s="16" t="s">
        <v>103</v>
      </c>
      <c r="K29" s="16" t="s">
        <v>32</v>
      </c>
      <c r="L29" s="16" t="s">
        <v>170</v>
      </c>
      <c r="M29" s="16"/>
      <c r="N29" s="16"/>
      <c r="O29" s="16"/>
      <c r="P29" s="16"/>
      <c r="Q29" s="16">
        <v>1</v>
      </c>
    </row>
    <row r="30" spans="1:17" x14ac:dyDescent="0.25">
      <c r="A30" s="16"/>
      <c r="B30" s="16" t="s">
        <v>26</v>
      </c>
      <c r="C30" s="16" t="s">
        <v>247</v>
      </c>
      <c r="D30" s="16" t="s">
        <v>248</v>
      </c>
      <c r="E30" s="16" t="s">
        <v>249</v>
      </c>
      <c r="F30" s="17">
        <v>7</v>
      </c>
      <c r="G30" s="17">
        <v>890</v>
      </c>
      <c r="H30" s="17">
        <v>30</v>
      </c>
      <c r="I30" s="17">
        <f t="shared" si="0"/>
        <v>860</v>
      </c>
      <c r="J30" s="16" t="s">
        <v>103</v>
      </c>
      <c r="K30" s="16" t="s">
        <v>32</v>
      </c>
      <c r="L30" s="16" t="s">
        <v>170</v>
      </c>
      <c r="M30" s="16"/>
      <c r="N30" s="16"/>
      <c r="O30" s="16"/>
      <c r="P30" s="16"/>
      <c r="Q30" s="16">
        <v>1</v>
      </c>
    </row>
    <row r="31" spans="1:17" s="21" customFormat="1" x14ac:dyDescent="0.25">
      <c r="A31" s="19"/>
      <c r="B31" s="19" t="s">
        <v>26</v>
      </c>
      <c r="C31" s="19" t="s">
        <v>126</v>
      </c>
      <c r="D31" s="19" t="s">
        <v>250</v>
      </c>
      <c r="E31" s="19" t="s">
        <v>128</v>
      </c>
      <c r="F31" s="20">
        <v>10</v>
      </c>
      <c r="G31" s="20">
        <v>25</v>
      </c>
      <c r="H31" s="20">
        <v>25</v>
      </c>
      <c r="I31" s="20">
        <f t="shared" si="0"/>
        <v>0</v>
      </c>
      <c r="J31" s="19" t="s">
        <v>103</v>
      </c>
      <c r="K31" s="19" t="s">
        <v>32</v>
      </c>
      <c r="L31" s="19" t="s">
        <v>170</v>
      </c>
      <c r="M31" s="19" t="s">
        <v>68</v>
      </c>
      <c r="N31" s="19"/>
      <c r="O31" s="19"/>
      <c r="P31" s="19"/>
      <c r="Q31" s="19">
        <v>1</v>
      </c>
    </row>
    <row r="32" spans="1:17" x14ac:dyDescent="0.25">
      <c r="A32" s="16"/>
      <c r="B32" s="16" t="s">
        <v>26</v>
      </c>
      <c r="C32" s="16" t="s">
        <v>251</v>
      </c>
      <c r="D32" s="16" t="s">
        <v>252</v>
      </c>
      <c r="E32" s="16" t="s">
        <v>253</v>
      </c>
      <c r="F32" s="17">
        <v>7</v>
      </c>
      <c r="G32" s="17">
        <v>1000</v>
      </c>
      <c r="H32" s="17">
        <v>30</v>
      </c>
      <c r="I32" s="17">
        <f t="shared" si="0"/>
        <v>970</v>
      </c>
      <c r="J32" s="16" t="s">
        <v>103</v>
      </c>
      <c r="K32" s="16" t="s">
        <v>32</v>
      </c>
      <c r="L32" s="16" t="s">
        <v>170</v>
      </c>
      <c r="M32" s="16"/>
      <c r="N32" s="16"/>
      <c r="O32" s="16"/>
      <c r="P32" s="16"/>
      <c r="Q32" s="16">
        <v>1</v>
      </c>
    </row>
    <row r="33" spans="1:17" s="21" customFormat="1" x14ac:dyDescent="0.25">
      <c r="A33" s="19"/>
      <c r="B33" s="19" t="s">
        <v>26</v>
      </c>
      <c r="C33" s="19" t="s">
        <v>254</v>
      </c>
      <c r="D33" s="19" t="s">
        <v>255</v>
      </c>
      <c r="E33" s="19" t="s">
        <v>256</v>
      </c>
      <c r="F33" s="20">
        <v>1</v>
      </c>
      <c r="G33" s="20">
        <v>205</v>
      </c>
      <c r="H33" s="20">
        <v>25</v>
      </c>
      <c r="I33" s="20">
        <f t="shared" si="0"/>
        <v>180</v>
      </c>
      <c r="J33" s="19" t="s">
        <v>103</v>
      </c>
      <c r="K33" s="19" t="s">
        <v>32</v>
      </c>
      <c r="L33" s="19" t="s">
        <v>170</v>
      </c>
      <c r="M33" s="19" t="s">
        <v>68</v>
      </c>
      <c r="N33" s="19"/>
      <c r="O33" s="19"/>
      <c r="P33" s="19"/>
      <c r="Q33" s="19">
        <v>1</v>
      </c>
    </row>
    <row r="34" spans="1:17" x14ac:dyDescent="0.25">
      <c r="A34" s="16"/>
      <c r="B34" s="16" t="s">
        <v>26</v>
      </c>
      <c r="C34" s="16" t="s">
        <v>257</v>
      </c>
      <c r="D34" s="16" t="s">
        <v>258</v>
      </c>
      <c r="E34" s="16" t="s">
        <v>259</v>
      </c>
      <c r="F34" s="17">
        <v>7</v>
      </c>
      <c r="G34" s="17">
        <v>890</v>
      </c>
      <c r="H34" s="17">
        <v>30</v>
      </c>
      <c r="I34" s="17">
        <f t="shared" si="0"/>
        <v>860</v>
      </c>
      <c r="J34" s="16" t="s">
        <v>103</v>
      </c>
      <c r="K34" s="16" t="s">
        <v>32</v>
      </c>
      <c r="L34" s="16" t="s">
        <v>170</v>
      </c>
      <c r="M34" s="16"/>
      <c r="N34" s="16"/>
      <c r="O34" s="16"/>
      <c r="P34" s="16"/>
      <c r="Q34" s="16">
        <v>1</v>
      </c>
    </row>
    <row r="35" spans="1:17" x14ac:dyDescent="0.25">
      <c r="A35" s="16"/>
      <c r="B35" s="16" t="s">
        <v>26</v>
      </c>
      <c r="C35" s="16" t="s">
        <v>260</v>
      </c>
      <c r="D35" s="16" t="s">
        <v>261</v>
      </c>
      <c r="E35" s="16" t="s">
        <v>262</v>
      </c>
      <c r="F35" s="16" t="s">
        <v>30</v>
      </c>
      <c r="G35" s="17">
        <v>0</v>
      </c>
      <c r="H35" s="17">
        <v>25</v>
      </c>
      <c r="I35" s="17">
        <f t="shared" si="0"/>
        <v>-25</v>
      </c>
      <c r="J35" s="16" t="s">
        <v>103</v>
      </c>
      <c r="K35" s="16" t="s">
        <v>32</v>
      </c>
      <c r="L35" s="16" t="s">
        <v>170</v>
      </c>
      <c r="M35" s="16"/>
      <c r="N35" s="16"/>
      <c r="O35" s="16"/>
      <c r="P35" s="16"/>
      <c r="Q35" s="16">
        <v>1</v>
      </c>
    </row>
    <row r="36" spans="1:17" x14ac:dyDescent="0.25">
      <c r="A36" s="16"/>
      <c r="B36" s="16" t="s">
        <v>26</v>
      </c>
      <c r="C36" s="16" t="s">
        <v>263</v>
      </c>
      <c r="D36" s="16" t="s">
        <v>264</v>
      </c>
      <c r="E36" s="16" t="s">
        <v>265</v>
      </c>
      <c r="F36" s="16" t="s">
        <v>243</v>
      </c>
      <c r="G36" s="17">
        <v>825</v>
      </c>
      <c r="H36" s="17">
        <v>35</v>
      </c>
      <c r="I36" s="17">
        <f t="shared" si="0"/>
        <v>790</v>
      </c>
      <c r="J36" s="16" t="s">
        <v>103</v>
      </c>
      <c r="K36" s="16" t="s">
        <v>32</v>
      </c>
      <c r="L36" s="16" t="s">
        <v>170</v>
      </c>
      <c r="M36" s="16"/>
      <c r="N36" s="16"/>
      <c r="O36" s="16"/>
      <c r="P36" s="16"/>
      <c r="Q36" s="16">
        <v>1</v>
      </c>
    </row>
    <row r="37" spans="1:17" s="2" customFormat="1" x14ac:dyDescent="0.25">
      <c r="A37" s="23"/>
      <c r="B37" s="23" t="s">
        <v>26</v>
      </c>
      <c r="C37" s="23" t="s">
        <v>266</v>
      </c>
      <c r="D37" s="23" t="s">
        <v>267</v>
      </c>
      <c r="E37" s="23" t="s">
        <v>268</v>
      </c>
      <c r="F37" s="24">
        <v>4</v>
      </c>
      <c r="G37" s="24">
        <v>905</v>
      </c>
      <c r="H37" s="24">
        <v>0</v>
      </c>
      <c r="I37" s="24">
        <f t="shared" si="0"/>
        <v>905</v>
      </c>
      <c r="J37" s="23" t="s">
        <v>269</v>
      </c>
      <c r="K37" s="23" t="s">
        <v>32</v>
      </c>
      <c r="L37" s="23" t="s">
        <v>270</v>
      </c>
      <c r="M37" s="23" t="s">
        <v>160</v>
      </c>
      <c r="N37" s="23" t="s">
        <v>271</v>
      </c>
      <c r="O37" s="23" t="s">
        <v>271</v>
      </c>
      <c r="P37" s="23" t="s">
        <v>272</v>
      </c>
      <c r="Q37" s="24">
        <v>1</v>
      </c>
    </row>
    <row r="39" spans="1:17" x14ac:dyDescent="0.25">
      <c r="D39" s="1">
        <f>COUNTA(D3:D37)</f>
        <v>32</v>
      </c>
      <c r="G39" s="1">
        <f t="shared" ref="G39:Q39" si="1">SUBTOTAL(9,G3:G37)</f>
        <v>21875</v>
      </c>
      <c r="H39" s="1">
        <f t="shared" si="1"/>
        <v>965</v>
      </c>
      <c r="I39" s="1">
        <f t="shared" si="1"/>
        <v>20910</v>
      </c>
      <c r="J39" s="1">
        <f t="shared" si="1"/>
        <v>0</v>
      </c>
      <c r="K39" s="1">
        <f t="shared" si="1"/>
        <v>0</v>
      </c>
      <c r="L39" s="1">
        <f t="shared" si="1"/>
        <v>0</v>
      </c>
      <c r="M39" s="1">
        <f t="shared" si="1"/>
        <v>0</v>
      </c>
      <c r="N39" s="1">
        <f t="shared" si="1"/>
        <v>0</v>
      </c>
      <c r="O39" s="1">
        <f t="shared" si="1"/>
        <v>0</v>
      </c>
      <c r="P39" s="1">
        <f t="shared" si="1"/>
        <v>0</v>
      </c>
      <c r="Q39" s="1">
        <f t="shared" si="1"/>
        <v>35</v>
      </c>
    </row>
    <row r="40" spans="1:17" x14ac:dyDescent="0.25">
      <c r="H40">
        <f>-8*17</f>
        <v>-136</v>
      </c>
    </row>
    <row r="41" spans="1:17" x14ac:dyDescent="0.25">
      <c r="A41" s="1" t="s">
        <v>26</v>
      </c>
      <c r="C41" s="34" t="s">
        <v>144</v>
      </c>
      <c r="D41" s="34"/>
      <c r="E41" s="4" t="s">
        <v>145</v>
      </c>
      <c r="H41">
        <f>-1*25</f>
        <v>-25</v>
      </c>
      <c r="K41" s="11" t="s">
        <v>32</v>
      </c>
      <c r="L41" s="11" t="s">
        <v>146</v>
      </c>
      <c r="M41" s="11" t="s">
        <v>145</v>
      </c>
      <c r="O41" s="4" t="s">
        <v>147</v>
      </c>
    </row>
    <row r="42" spans="1:17" x14ac:dyDescent="0.25">
      <c r="A42" t="s">
        <v>170</v>
      </c>
      <c r="B42" s="3" t="s">
        <v>148</v>
      </c>
      <c r="C42" s="35">
        <f>SUMIFS(I$3:I$37,B$3:B$37,A$41,L$3:L$37,A$42)</f>
        <v>20005</v>
      </c>
      <c r="D42" s="35"/>
      <c r="E42" s="3">
        <f>SUMIFS(Q$3:Q$37,B$3:B$37,A$41,L$3:L$37,A$42)</f>
        <v>34</v>
      </c>
      <c r="F42" t="s">
        <v>149</v>
      </c>
      <c r="H42">
        <f>-2*30</f>
        <v>-60</v>
      </c>
      <c r="K42" t="s">
        <v>150</v>
      </c>
      <c r="L42">
        <f>SUMIFS(G$3:G$37,J$3:J$37,K$41)</f>
        <v>5255</v>
      </c>
      <c r="M42">
        <f>SUMIFS(Q$3:Q$37,J$3:J$37,K$41)-INT(COUNTIFS(J$3:J$37,K$41,M$3:M$37,"*gộp*")/2)</f>
        <v>11</v>
      </c>
      <c r="O42" t="s">
        <v>32</v>
      </c>
      <c r="P42">
        <f>L47</f>
        <v>4932</v>
      </c>
    </row>
    <row r="43" spans="1:17" x14ac:dyDescent="0.25">
      <c r="B43" s="2" t="s">
        <v>152</v>
      </c>
      <c r="C43" s="36">
        <v>0</v>
      </c>
      <c r="D43" s="36"/>
      <c r="K43" t="s">
        <v>153</v>
      </c>
      <c r="L43">
        <f>-SUMIFS(H$3:H$37,J$3:J$37,K$41)+M43*5</f>
        <v>-255</v>
      </c>
      <c r="M43">
        <f>SUMIFS(Q$3:Q$37,J$3:J$37,K$41)-INT(COUNTIFS(J$3:J$37,K$41,M$3:M$37,"*gộp*")/2)</f>
        <v>11</v>
      </c>
      <c r="O43" t="s">
        <v>273</v>
      </c>
      <c r="P43">
        <f>L55</f>
        <v>7884</v>
      </c>
    </row>
    <row r="44" spans="1:17" x14ac:dyDescent="0.25">
      <c r="B44" s="2" t="s">
        <v>154</v>
      </c>
      <c r="C44" s="36">
        <f>-SUMIFS(I$3:I$37,B$3:B$37,A$41,P$3:P$37,"xx",N$3:N$37,"x")</f>
        <v>-905</v>
      </c>
      <c r="D44" s="36"/>
      <c r="E44" s="2">
        <f>SUMIFS(Q$3:Q$37,B$3:B$37,A$41,P$3:P$37,"xx",N$3:N$37,"x")</f>
        <v>1</v>
      </c>
      <c r="K44" t="s">
        <v>155</v>
      </c>
      <c r="L44">
        <f>-M44*2</f>
        <v>-68</v>
      </c>
      <c r="M44">
        <f>E45-(COUNTIFS(M$3:M$37,"*gộp*")/2)-COUNTIFS(M$3:M$37,"*đơn trả*")-COUNTIFS(M$3:M$37,"*hàng tỉnh*")</f>
        <v>34</v>
      </c>
      <c r="O44" t="s">
        <v>103</v>
      </c>
      <c r="P44">
        <f>L63</f>
        <v>6425</v>
      </c>
    </row>
    <row r="45" spans="1:17" x14ac:dyDescent="0.25">
      <c r="B45" s="4" t="s">
        <v>156</v>
      </c>
      <c r="C45" s="34">
        <f>SUBTOTAL(9,C42:C44)</f>
        <v>19100</v>
      </c>
      <c r="D45" s="34"/>
      <c r="E45">
        <f>E42</f>
        <v>34</v>
      </c>
      <c r="K45" s="12" t="s">
        <v>157</v>
      </c>
      <c r="O45" t="s">
        <v>158</v>
      </c>
      <c r="P45">
        <f>-C49</f>
        <v>-19100</v>
      </c>
    </row>
    <row r="46" spans="1:17" x14ac:dyDescent="0.25">
      <c r="B46" s="2" t="s">
        <v>159</v>
      </c>
      <c r="C46" s="32"/>
      <c r="D46" s="32"/>
      <c r="K46" s="2" t="s">
        <v>160</v>
      </c>
      <c r="O46" s="4" t="s">
        <v>161</v>
      </c>
      <c r="P46" s="4">
        <f>SUBTOTAL(9,P42:P45)</f>
        <v>141</v>
      </c>
    </row>
    <row r="47" spans="1:17" x14ac:dyDescent="0.25">
      <c r="B47" s="13" t="s">
        <v>162</v>
      </c>
      <c r="C47" s="32"/>
      <c r="D47" s="32"/>
      <c r="L47" s="14">
        <f>SUBTOTAL(9,L42:L46)</f>
        <v>4932</v>
      </c>
      <c r="M47" s="14">
        <f>M42</f>
        <v>11</v>
      </c>
    </row>
    <row r="49" spans="2:13" x14ac:dyDescent="0.25">
      <c r="B49" s="1" t="s">
        <v>163</v>
      </c>
      <c r="C49" s="33">
        <f>C45+C46+C47</f>
        <v>19100</v>
      </c>
      <c r="D49" s="33"/>
      <c r="E49" s="1" t="s">
        <v>164</v>
      </c>
      <c r="K49" s="11" t="s">
        <v>169</v>
      </c>
      <c r="L49" s="11" t="s">
        <v>146</v>
      </c>
      <c r="M49" s="11" t="s">
        <v>145</v>
      </c>
    </row>
    <row r="50" spans="2:13" x14ac:dyDescent="0.25">
      <c r="K50" t="s">
        <v>150</v>
      </c>
      <c r="L50">
        <f>SUMIFS(G$3:G$37,J$3:J$37,K$49)</f>
        <v>8105</v>
      </c>
      <c r="M50">
        <f>SUMIFS(Q$3:Q$37,J$3:J$37,K$49)-INT(COUNTIFS(J$3:J$37,K$49,M$3:M$37,"*gộp*")/2)</f>
        <v>11</v>
      </c>
    </row>
    <row r="51" spans="2:13" x14ac:dyDescent="0.25">
      <c r="K51" t="s">
        <v>153</v>
      </c>
      <c r="L51">
        <f>SUM(H40:H42)</f>
        <v>-221</v>
      </c>
      <c r="M51">
        <f>SUMIFS(Q$3:Q$37,J$3:J$37,K$49)-INT(COUNTIFS(J$3:J$37,K$49,M$3:M$37,"*gộp*")/2)</f>
        <v>11</v>
      </c>
    </row>
    <row r="52" spans="2:13" x14ac:dyDescent="0.25">
      <c r="K52" t="s">
        <v>155</v>
      </c>
    </row>
    <row r="53" spans="2:13" x14ac:dyDescent="0.25">
      <c r="K53" s="12" t="s">
        <v>157</v>
      </c>
    </row>
    <row r="54" spans="2:13" x14ac:dyDescent="0.25">
      <c r="K54" s="2" t="s">
        <v>160</v>
      </c>
    </row>
    <row r="55" spans="2:13" x14ac:dyDescent="0.25">
      <c r="L55" s="14">
        <f>SUBTOTAL(9,L50:L54)</f>
        <v>7884</v>
      </c>
      <c r="M55" s="14">
        <f>M50</f>
        <v>11</v>
      </c>
    </row>
    <row r="57" spans="2:13" x14ac:dyDescent="0.25">
      <c r="K57" s="11" t="s">
        <v>103</v>
      </c>
      <c r="L57" s="11" t="s">
        <v>146</v>
      </c>
      <c r="M57" s="11" t="s">
        <v>145</v>
      </c>
    </row>
    <row r="58" spans="2:13" x14ac:dyDescent="0.25">
      <c r="K58" t="s">
        <v>150</v>
      </c>
      <c r="L58">
        <f>SUMIFS(G$3:G$37,J$3:J$37,K$57)</f>
        <v>7610</v>
      </c>
      <c r="M58">
        <f>SUMIFS(Q$3:Q$37,J$3:J$37,K$57)-INT(COUNTIFS(J$3:J$37,K$57,M$3:M$37,"*gộp*")/2)</f>
        <v>12</v>
      </c>
    </row>
    <row r="59" spans="2:13" x14ac:dyDescent="0.25">
      <c r="K59" t="s">
        <v>153</v>
      </c>
      <c r="L59">
        <f>-SUMIFS(H$3:H$37,J$3:J$37,K$57)+M59*5</f>
        <v>-280</v>
      </c>
      <c r="M59">
        <f>SUMIFS(Q$3:Q$37,J$3:J$37,K$57)-INT(COUNTIFS(J$3:J$37,K$57,M$3:M$37,"*gộp*")/2)</f>
        <v>12</v>
      </c>
    </row>
    <row r="60" spans="2:13" x14ac:dyDescent="0.25">
      <c r="K60" t="s">
        <v>155</v>
      </c>
    </row>
    <row r="61" spans="2:13" x14ac:dyDescent="0.25">
      <c r="K61" s="12" t="s">
        <v>157</v>
      </c>
      <c r="L61" s="12"/>
      <c r="M61" s="12"/>
    </row>
    <row r="62" spans="2:13" x14ac:dyDescent="0.25">
      <c r="K62" s="2" t="s">
        <v>160</v>
      </c>
      <c r="L62" s="25">
        <v>-905</v>
      </c>
      <c r="M62" s="25" t="s">
        <v>274</v>
      </c>
    </row>
    <row r="63" spans="2:13" x14ac:dyDescent="0.25">
      <c r="L63" s="14">
        <f>SUBTOTAL(9,L58:L62)</f>
        <v>6425</v>
      </c>
      <c r="M63" s="14">
        <f>M58</f>
        <v>12</v>
      </c>
    </row>
  </sheetData>
  <autoFilter ref="A2:P37" xr:uid="{00000000-0009-0000-0000-000002000000}">
    <sortState xmlns:xlrd2="http://schemas.microsoft.com/office/spreadsheetml/2017/richdata2" ref="A3:P37">
      <sortCondition ref="J2:J37"/>
    </sortState>
  </autoFilter>
  <mergeCells count="8">
    <mergeCell ref="C46:D46"/>
    <mergeCell ref="C47:D47"/>
    <mergeCell ref="C49:D49"/>
    <mergeCell ref="C41:D41"/>
    <mergeCell ref="C42:D42"/>
    <mergeCell ref="C43:D43"/>
    <mergeCell ref="C44:D44"/>
    <mergeCell ref="C45:D45"/>
  </mergeCells>
  <pageMargins left="0.75" right="0.75" top="0.75" bottom="0.5" header="0.5" footer="0.7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R64"/>
  <sheetViews>
    <sheetView zoomScale="85" zoomScaleNormal="85" workbookViewId="0">
      <selection activeCell="S56" sqref="S56"/>
    </sheetView>
  </sheetViews>
  <sheetFormatPr defaultRowHeight="15" x14ac:dyDescent="0.25"/>
  <cols>
    <col min="1" max="1" width="12.7109375" customWidth="1"/>
    <col min="2" max="2" width="17.7109375" customWidth="1"/>
    <col min="3" max="3" width="33.42578125" customWidth="1"/>
    <col min="4" max="4" width="9.85546875" customWidth="1"/>
    <col min="5" max="5" width="82" customWidth="1"/>
    <col min="6" max="6" width="10.855468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0.42578125" customWidth="1"/>
    <col min="13" max="13" width="14.7109375" bestFit="1" customWidth="1"/>
    <col min="14" max="14" width="9.7109375" customWidth="1"/>
    <col min="15" max="15" width="10.42578125" customWidth="1"/>
    <col min="16" max="16" width="7.42578125" bestFit="1" customWidth="1"/>
    <col min="17" max="17" width="6.42578125" customWidth="1"/>
  </cols>
  <sheetData>
    <row r="2" spans="1:18" x14ac:dyDescent="0.25">
      <c r="A2" s="15" t="s">
        <v>10</v>
      </c>
      <c r="B2" s="15" t="s">
        <v>11</v>
      </c>
      <c r="C2" s="15" t="s">
        <v>12</v>
      </c>
      <c r="D2" s="15" t="s">
        <v>13</v>
      </c>
      <c r="E2" s="15" t="s">
        <v>14</v>
      </c>
      <c r="F2" s="15" t="s">
        <v>15</v>
      </c>
      <c r="G2" s="15" t="s">
        <v>16</v>
      </c>
      <c r="H2" s="15" t="s">
        <v>17</v>
      </c>
      <c r="I2" s="15" t="s">
        <v>18</v>
      </c>
      <c r="J2" s="15" t="s">
        <v>19</v>
      </c>
      <c r="K2" s="15" t="s">
        <v>20</v>
      </c>
      <c r="L2" s="15" t="s">
        <v>21</v>
      </c>
      <c r="M2" s="15" t="s">
        <v>22</v>
      </c>
      <c r="N2" s="15" t="s">
        <v>23</v>
      </c>
      <c r="O2" s="15" t="s">
        <v>24</v>
      </c>
      <c r="P2" s="15" t="s">
        <v>25</v>
      </c>
      <c r="Q2" s="15" t="s">
        <v>165</v>
      </c>
    </row>
    <row r="3" spans="1:18" x14ac:dyDescent="0.25">
      <c r="A3" s="16"/>
      <c r="B3" s="16" t="s">
        <v>26</v>
      </c>
      <c r="C3" s="16" t="s">
        <v>275</v>
      </c>
      <c r="D3" s="16" t="s">
        <v>276</v>
      </c>
      <c r="E3" s="16" t="s">
        <v>277</v>
      </c>
      <c r="F3" s="16" t="s">
        <v>30</v>
      </c>
      <c r="G3" s="17">
        <v>1205</v>
      </c>
      <c r="H3" s="17">
        <v>25</v>
      </c>
      <c r="I3" s="17">
        <f t="shared" ref="I3:I38" si="0">G3-H3</f>
        <v>1180</v>
      </c>
      <c r="J3" s="16" t="s">
        <v>278</v>
      </c>
      <c r="K3" s="16" t="s">
        <v>32</v>
      </c>
      <c r="L3" s="16" t="s">
        <v>279</v>
      </c>
      <c r="M3" s="16"/>
      <c r="N3" s="16"/>
      <c r="O3" s="16"/>
      <c r="P3" s="16"/>
      <c r="Q3" s="16">
        <v>1</v>
      </c>
    </row>
    <row r="4" spans="1:18" x14ac:dyDescent="0.25">
      <c r="A4" s="16"/>
      <c r="B4" s="16" t="s">
        <v>26</v>
      </c>
      <c r="C4" s="16" t="s">
        <v>280</v>
      </c>
      <c r="D4" s="16" t="s">
        <v>281</v>
      </c>
      <c r="E4" s="16" t="s">
        <v>282</v>
      </c>
      <c r="F4" s="16" t="s">
        <v>51</v>
      </c>
      <c r="G4" s="17">
        <v>960</v>
      </c>
      <c r="H4" s="17">
        <v>30</v>
      </c>
      <c r="I4" s="17">
        <f t="shared" si="0"/>
        <v>930</v>
      </c>
      <c r="J4" s="16" t="s">
        <v>278</v>
      </c>
      <c r="K4" s="16" t="s">
        <v>32</v>
      </c>
      <c r="L4" s="16" t="s">
        <v>279</v>
      </c>
      <c r="M4" s="16"/>
      <c r="N4" s="16"/>
      <c r="O4" s="16"/>
      <c r="P4" s="16"/>
      <c r="Q4" s="16">
        <v>1</v>
      </c>
    </row>
    <row r="5" spans="1:18" x14ac:dyDescent="0.25">
      <c r="A5" s="16"/>
      <c r="B5" s="16" t="s">
        <v>26</v>
      </c>
      <c r="C5" s="16" t="s">
        <v>283</v>
      </c>
      <c r="D5" s="16" t="s">
        <v>284</v>
      </c>
      <c r="E5" s="16" t="s">
        <v>285</v>
      </c>
      <c r="F5" s="16" t="s">
        <v>30</v>
      </c>
      <c r="G5" s="17">
        <v>1145</v>
      </c>
      <c r="H5" s="17">
        <v>25</v>
      </c>
      <c r="I5" s="17">
        <f t="shared" si="0"/>
        <v>1120</v>
      </c>
      <c r="J5" s="16" t="s">
        <v>278</v>
      </c>
      <c r="K5" s="16" t="s">
        <v>32</v>
      </c>
      <c r="L5" s="16" t="s">
        <v>279</v>
      </c>
      <c r="M5" s="16"/>
      <c r="N5" s="16"/>
      <c r="O5" s="16"/>
      <c r="P5" s="16"/>
      <c r="Q5" s="16">
        <v>1</v>
      </c>
    </row>
    <row r="6" spans="1:18" x14ac:dyDescent="0.25">
      <c r="A6" s="16"/>
      <c r="B6" s="16" t="s">
        <v>26</v>
      </c>
      <c r="C6" s="16" t="s">
        <v>56</v>
      </c>
      <c r="D6" s="16" t="s">
        <v>286</v>
      </c>
      <c r="E6" s="16" t="s">
        <v>287</v>
      </c>
      <c r="F6" s="16" t="s">
        <v>40</v>
      </c>
      <c r="G6" s="17">
        <v>625</v>
      </c>
      <c r="H6" s="17">
        <v>35</v>
      </c>
      <c r="I6" s="17">
        <f t="shared" si="0"/>
        <v>590</v>
      </c>
      <c r="J6" s="16" t="s">
        <v>278</v>
      </c>
      <c r="K6" s="16" t="s">
        <v>32</v>
      </c>
      <c r="L6" s="16" t="s">
        <v>279</v>
      </c>
      <c r="M6" s="18" t="s">
        <v>288</v>
      </c>
      <c r="N6" s="16"/>
      <c r="O6" s="16"/>
      <c r="P6" s="16"/>
      <c r="Q6" s="16">
        <v>1</v>
      </c>
    </row>
    <row r="7" spans="1:18" x14ac:dyDescent="0.25">
      <c r="A7" s="16"/>
      <c r="B7" s="16" t="s">
        <v>26</v>
      </c>
      <c r="C7" s="16" t="s">
        <v>56</v>
      </c>
      <c r="D7" s="16" t="s">
        <v>289</v>
      </c>
      <c r="E7" s="16" t="s">
        <v>290</v>
      </c>
      <c r="F7" s="16" t="s">
        <v>40</v>
      </c>
      <c r="G7" s="17">
        <v>540</v>
      </c>
      <c r="H7" s="17">
        <v>0</v>
      </c>
      <c r="I7" s="17">
        <f t="shared" si="0"/>
        <v>540</v>
      </c>
      <c r="J7" s="16" t="s">
        <v>278</v>
      </c>
      <c r="K7" s="16" t="s">
        <v>32</v>
      </c>
      <c r="L7" s="16" t="s">
        <v>279</v>
      </c>
      <c r="M7" s="18" t="s">
        <v>288</v>
      </c>
      <c r="N7" s="16"/>
      <c r="O7" s="16"/>
      <c r="P7" s="16"/>
      <c r="Q7" s="16">
        <v>1</v>
      </c>
    </row>
    <row r="8" spans="1:18" x14ac:dyDescent="0.25">
      <c r="A8" s="16"/>
      <c r="B8" s="16" t="s">
        <v>26</v>
      </c>
      <c r="C8" s="16" t="s">
        <v>291</v>
      </c>
      <c r="D8" s="16" t="s">
        <v>292</v>
      </c>
      <c r="E8" s="16" t="s">
        <v>293</v>
      </c>
      <c r="F8" s="16" t="s">
        <v>40</v>
      </c>
      <c r="G8" s="17">
        <v>0</v>
      </c>
      <c r="H8" s="17">
        <v>35</v>
      </c>
      <c r="I8" s="17">
        <f t="shared" si="0"/>
        <v>-35</v>
      </c>
      <c r="J8" s="16" t="s">
        <v>278</v>
      </c>
      <c r="K8" s="16" t="s">
        <v>32</v>
      </c>
      <c r="L8" s="16" t="s">
        <v>279</v>
      </c>
      <c r="M8" s="16"/>
      <c r="N8" s="16"/>
      <c r="O8" s="16"/>
      <c r="P8" s="16"/>
      <c r="Q8" s="16">
        <v>1</v>
      </c>
      <c r="R8" s="10">
        <f>H8</f>
        <v>35</v>
      </c>
    </row>
    <row r="9" spans="1:18" x14ac:dyDescent="0.25">
      <c r="A9" s="16"/>
      <c r="B9" s="16" t="s">
        <v>26</v>
      </c>
      <c r="C9" s="16" t="s">
        <v>294</v>
      </c>
      <c r="D9" s="16" t="s">
        <v>295</v>
      </c>
      <c r="E9" s="16" t="s">
        <v>296</v>
      </c>
      <c r="F9" s="16" t="s">
        <v>51</v>
      </c>
      <c r="G9" s="17">
        <v>770</v>
      </c>
      <c r="H9" s="17">
        <v>30</v>
      </c>
      <c r="I9" s="17">
        <f t="shared" si="0"/>
        <v>740</v>
      </c>
      <c r="J9" s="16" t="s">
        <v>278</v>
      </c>
      <c r="K9" s="16" t="s">
        <v>32</v>
      </c>
      <c r="L9" s="16" t="s">
        <v>279</v>
      </c>
      <c r="M9" s="16"/>
      <c r="N9" s="16"/>
      <c r="O9" s="16"/>
      <c r="P9" s="16"/>
      <c r="Q9" s="16">
        <v>1</v>
      </c>
    </row>
    <row r="10" spans="1:18" x14ac:dyDescent="0.25">
      <c r="A10" s="16"/>
      <c r="B10" s="16" t="s">
        <v>26</v>
      </c>
      <c r="C10" s="16" t="s">
        <v>297</v>
      </c>
      <c r="D10" s="16" t="s">
        <v>298</v>
      </c>
      <c r="E10" s="16" t="s">
        <v>299</v>
      </c>
      <c r="F10" s="16" t="s">
        <v>51</v>
      </c>
      <c r="G10" s="17">
        <v>0</v>
      </c>
      <c r="H10" s="17">
        <v>30</v>
      </c>
      <c r="I10" s="17">
        <f t="shared" si="0"/>
        <v>-30</v>
      </c>
      <c r="J10" s="16" t="s">
        <v>278</v>
      </c>
      <c r="K10" s="16" t="s">
        <v>32</v>
      </c>
      <c r="L10" s="16" t="s">
        <v>279</v>
      </c>
      <c r="M10" s="16"/>
      <c r="N10" s="16"/>
      <c r="O10" s="16"/>
      <c r="P10" s="16"/>
      <c r="Q10" s="16">
        <v>1</v>
      </c>
      <c r="R10" s="10">
        <f>H10</f>
        <v>30</v>
      </c>
    </row>
    <row r="11" spans="1:18" x14ac:dyDescent="0.25">
      <c r="A11" s="16"/>
      <c r="B11" s="16" t="s">
        <v>26</v>
      </c>
      <c r="C11" s="16" t="s">
        <v>300</v>
      </c>
      <c r="D11" s="16" t="s">
        <v>301</v>
      </c>
      <c r="E11" s="16" t="s">
        <v>302</v>
      </c>
      <c r="F11" s="16" t="s">
        <v>30</v>
      </c>
      <c r="G11" s="17">
        <v>855</v>
      </c>
      <c r="H11" s="17">
        <v>25</v>
      </c>
      <c r="I11" s="17">
        <f t="shared" si="0"/>
        <v>830</v>
      </c>
      <c r="J11" s="16" t="s">
        <v>278</v>
      </c>
      <c r="K11" s="16" t="s">
        <v>32</v>
      </c>
      <c r="L11" s="16" t="s">
        <v>279</v>
      </c>
      <c r="M11" s="16"/>
      <c r="N11" s="16"/>
      <c r="O11" s="16"/>
      <c r="P11" s="16"/>
      <c r="Q11" s="16">
        <v>1</v>
      </c>
    </row>
    <row r="12" spans="1:18" x14ac:dyDescent="0.25">
      <c r="A12" s="16"/>
      <c r="B12" s="16" t="s">
        <v>26</v>
      </c>
      <c r="C12" s="16" t="s">
        <v>303</v>
      </c>
      <c r="D12" s="16" t="s">
        <v>304</v>
      </c>
      <c r="E12" s="16" t="s">
        <v>305</v>
      </c>
      <c r="F12" s="16" t="s">
        <v>51</v>
      </c>
      <c r="G12" s="17">
        <v>1780</v>
      </c>
      <c r="H12" s="17">
        <v>30</v>
      </c>
      <c r="I12" s="17">
        <f t="shared" si="0"/>
        <v>1750</v>
      </c>
      <c r="J12" s="16" t="s">
        <v>278</v>
      </c>
      <c r="K12" s="16" t="s">
        <v>32</v>
      </c>
      <c r="L12" s="16" t="s">
        <v>279</v>
      </c>
      <c r="M12" s="16"/>
      <c r="N12" s="16"/>
      <c r="O12" s="16"/>
      <c r="P12" s="16"/>
      <c r="Q12" s="16">
        <v>1</v>
      </c>
    </row>
    <row r="13" spans="1:18" x14ac:dyDescent="0.25">
      <c r="A13" s="16" t="s">
        <v>141</v>
      </c>
      <c r="B13" s="16" t="s">
        <v>26</v>
      </c>
      <c r="C13" s="16" t="s">
        <v>306</v>
      </c>
      <c r="D13" s="16"/>
      <c r="E13" s="16" t="s">
        <v>307</v>
      </c>
      <c r="F13" s="17">
        <v>6</v>
      </c>
      <c r="G13" s="17">
        <v>1360</v>
      </c>
      <c r="H13" s="17">
        <v>30</v>
      </c>
      <c r="I13" s="17">
        <f t="shared" si="0"/>
        <v>1330</v>
      </c>
      <c r="J13" s="16" t="s">
        <v>278</v>
      </c>
      <c r="K13" s="16" t="s">
        <v>32</v>
      </c>
      <c r="L13" s="16" t="s">
        <v>279</v>
      </c>
      <c r="M13" s="16"/>
      <c r="N13" s="16"/>
      <c r="O13" s="16"/>
      <c r="P13" s="16"/>
      <c r="Q13" s="16">
        <v>1</v>
      </c>
    </row>
    <row r="14" spans="1:18" x14ac:dyDescent="0.25">
      <c r="A14" s="16"/>
      <c r="B14" s="16" t="s">
        <v>26</v>
      </c>
      <c r="C14" s="16" t="s">
        <v>308</v>
      </c>
      <c r="D14" s="16" t="s">
        <v>309</v>
      </c>
      <c r="E14" s="16" t="s">
        <v>310</v>
      </c>
      <c r="F14" s="17">
        <v>9</v>
      </c>
      <c r="G14" s="17">
        <v>720</v>
      </c>
      <c r="H14" s="17">
        <v>30</v>
      </c>
      <c r="I14" s="17">
        <f t="shared" si="0"/>
        <v>690</v>
      </c>
      <c r="J14" s="16" t="s">
        <v>32</v>
      </c>
      <c r="K14" s="16" t="s">
        <v>32</v>
      </c>
      <c r="L14" s="16" t="s">
        <v>279</v>
      </c>
      <c r="M14" s="16"/>
      <c r="N14" s="16"/>
      <c r="O14" s="16"/>
      <c r="P14" s="16"/>
      <c r="Q14" s="16">
        <v>1</v>
      </c>
    </row>
    <row r="15" spans="1:18" x14ac:dyDescent="0.25">
      <c r="A15" s="16"/>
      <c r="B15" s="16" t="s">
        <v>26</v>
      </c>
      <c r="C15" s="16" t="s">
        <v>311</v>
      </c>
      <c r="D15" s="16" t="s">
        <v>312</v>
      </c>
      <c r="E15" s="16" t="s">
        <v>313</v>
      </c>
      <c r="F15" s="16" t="s">
        <v>75</v>
      </c>
      <c r="G15" s="17">
        <v>0</v>
      </c>
      <c r="H15" s="17">
        <v>20</v>
      </c>
      <c r="I15" s="17">
        <f t="shared" si="0"/>
        <v>-20</v>
      </c>
      <c r="J15" s="16" t="s">
        <v>32</v>
      </c>
      <c r="K15" s="16" t="s">
        <v>32</v>
      </c>
      <c r="L15" s="16" t="s">
        <v>279</v>
      </c>
      <c r="M15" s="16"/>
      <c r="N15" s="16"/>
      <c r="O15" s="16"/>
      <c r="P15" s="16"/>
      <c r="Q15" s="16">
        <v>1</v>
      </c>
      <c r="R15" s="10">
        <f>H15</f>
        <v>20</v>
      </c>
    </row>
    <row r="16" spans="1:18" x14ac:dyDescent="0.25">
      <c r="A16" s="16"/>
      <c r="B16" s="16" t="s">
        <v>26</v>
      </c>
      <c r="C16" s="16" t="s">
        <v>97</v>
      </c>
      <c r="D16" s="16" t="s">
        <v>314</v>
      </c>
      <c r="E16" s="16" t="s">
        <v>99</v>
      </c>
      <c r="F16" s="17">
        <v>2</v>
      </c>
      <c r="G16" s="17">
        <v>920</v>
      </c>
      <c r="H16" s="17">
        <v>30</v>
      </c>
      <c r="I16" s="17">
        <f t="shared" si="0"/>
        <v>890</v>
      </c>
      <c r="J16" s="16" t="s">
        <v>32</v>
      </c>
      <c r="K16" s="16" t="s">
        <v>32</v>
      </c>
      <c r="L16" s="16" t="s">
        <v>279</v>
      </c>
      <c r="M16" s="16"/>
      <c r="N16" s="16"/>
      <c r="O16" s="16"/>
      <c r="P16" s="16"/>
      <c r="Q16" s="16">
        <v>1</v>
      </c>
    </row>
    <row r="17" spans="1:18" x14ac:dyDescent="0.25">
      <c r="A17" s="16"/>
      <c r="B17" s="16" t="s">
        <v>26</v>
      </c>
      <c r="C17" s="16" t="s">
        <v>315</v>
      </c>
      <c r="D17" s="16" t="s">
        <v>316</v>
      </c>
      <c r="E17" s="16" t="s">
        <v>317</v>
      </c>
      <c r="F17" s="17">
        <v>12</v>
      </c>
      <c r="G17" s="17">
        <v>0</v>
      </c>
      <c r="H17" s="17">
        <v>30</v>
      </c>
      <c r="I17" s="17">
        <f t="shared" si="0"/>
        <v>-30</v>
      </c>
      <c r="J17" s="16" t="s">
        <v>32</v>
      </c>
      <c r="K17" s="16" t="s">
        <v>32</v>
      </c>
      <c r="L17" s="16" t="s">
        <v>279</v>
      </c>
      <c r="M17" s="16"/>
      <c r="N17" s="16"/>
      <c r="O17" s="16"/>
      <c r="P17" s="16"/>
      <c r="Q17" s="16">
        <v>1</v>
      </c>
      <c r="R17" s="10">
        <f>H17</f>
        <v>30</v>
      </c>
    </row>
    <row r="18" spans="1:18" x14ac:dyDescent="0.25">
      <c r="A18" s="16"/>
      <c r="B18" s="16" t="s">
        <v>26</v>
      </c>
      <c r="C18" s="16" t="s">
        <v>318</v>
      </c>
      <c r="D18" s="16" t="s">
        <v>319</v>
      </c>
      <c r="E18" s="16" t="s">
        <v>320</v>
      </c>
      <c r="F18" s="16" t="s">
        <v>82</v>
      </c>
      <c r="G18" s="17">
        <v>885</v>
      </c>
      <c r="H18" s="17">
        <v>25</v>
      </c>
      <c r="I18" s="17">
        <f t="shared" si="0"/>
        <v>860</v>
      </c>
      <c r="J18" s="16" t="s">
        <v>32</v>
      </c>
      <c r="K18" s="16" t="s">
        <v>32</v>
      </c>
      <c r="L18" s="16" t="s">
        <v>279</v>
      </c>
      <c r="M18" s="16"/>
      <c r="N18" s="16"/>
      <c r="O18" s="16"/>
      <c r="P18" s="16"/>
      <c r="Q18" s="16">
        <v>1</v>
      </c>
    </row>
    <row r="19" spans="1:18" x14ac:dyDescent="0.25">
      <c r="A19" s="16"/>
      <c r="B19" s="16" t="s">
        <v>26</v>
      </c>
      <c r="C19" s="16" t="s">
        <v>321</v>
      </c>
      <c r="D19" s="16" t="s">
        <v>322</v>
      </c>
      <c r="E19" s="16" t="s">
        <v>323</v>
      </c>
      <c r="F19" s="17">
        <v>9</v>
      </c>
      <c r="G19" s="17">
        <v>970</v>
      </c>
      <c r="H19" s="17">
        <v>30</v>
      </c>
      <c r="I19" s="17">
        <f t="shared" si="0"/>
        <v>940</v>
      </c>
      <c r="J19" s="16" t="s">
        <v>32</v>
      </c>
      <c r="K19" s="16" t="s">
        <v>32</v>
      </c>
      <c r="L19" s="16" t="s">
        <v>279</v>
      </c>
      <c r="M19" s="16"/>
      <c r="N19" s="16"/>
      <c r="O19" s="16"/>
      <c r="P19" s="16"/>
      <c r="Q19" s="16">
        <v>1</v>
      </c>
    </row>
    <row r="20" spans="1:18" x14ac:dyDescent="0.25">
      <c r="A20" s="16"/>
      <c r="B20" s="16" t="s">
        <v>26</v>
      </c>
      <c r="C20" s="16" t="s">
        <v>324</v>
      </c>
      <c r="D20" s="16" t="s">
        <v>325</v>
      </c>
      <c r="E20" s="16" t="s">
        <v>326</v>
      </c>
      <c r="F20" s="16" t="s">
        <v>82</v>
      </c>
      <c r="G20" s="17">
        <v>2650</v>
      </c>
      <c r="H20" s="17">
        <v>30</v>
      </c>
      <c r="I20" s="17">
        <f t="shared" si="0"/>
        <v>2620</v>
      </c>
      <c r="J20" s="16" t="s">
        <v>32</v>
      </c>
      <c r="K20" s="16" t="s">
        <v>32</v>
      </c>
      <c r="L20" s="16" t="s">
        <v>279</v>
      </c>
      <c r="M20" s="18" t="s">
        <v>55</v>
      </c>
      <c r="N20" s="16"/>
      <c r="O20" s="16"/>
      <c r="P20" s="16"/>
      <c r="Q20" s="16">
        <v>1</v>
      </c>
      <c r="R20" s="10">
        <f>H20</f>
        <v>30</v>
      </c>
    </row>
    <row r="21" spans="1:18" x14ac:dyDescent="0.25">
      <c r="A21" s="16"/>
      <c r="B21" s="16" t="s">
        <v>26</v>
      </c>
      <c r="C21" s="16" t="s">
        <v>327</v>
      </c>
      <c r="D21" s="16" t="s">
        <v>328</v>
      </c>
      <c r="E21" s="16" t="s">
        <v>329</v>
      </c>
      <c r="F21" s="17">
        <v>7</v>
      </c>
      <c r="G21" s="17">
        <v>0</v>
      </c>
      <c r="H21" s="17">
        <v>30</v>
      </c>
      <c r="I21" s="17">
        <f t="shared" si="0"/>
        <v>-30</v>
      </c>
      <c r="J21" s="16" t="s">
        <v>103</v>
      </c>
      <c r="K21" s="16" t="s">
        <v>32</v>
      </c>
      <c r="L21" s="16" t="s">
        <v>279</v>
      </c>
      <c r="M21" s="16"/>
      <c r="N21" s="16"/>
      <c r="O21" s="16"/>
      <c r="P21" s="16"/>
      <c r="Q21" s="16">
        <v>1</v>
      </c>
      <c r="R21" s="10">
        <f>H21</f>
        <v>30</v>
      </c>
    </row>
    <row r="22" spans="1:18" x14ac:dyDescent="0.25">
      <c r="A22" s="16"/>
      <c r="B22" s="16" t="s">
        <v>26</v>
      </c>
      <c r="C22" s="16" t="s">
        <v>330</v>
      </c>
      <c r="D22" s="16" t="s">
        <v>331</v>
      </c>
      <c r="E22" s="16" t="s">
        <v>332</v>
      </c>
      <c r="F22" s="17">
        <v>10</v>
      </c>
      <c r="G22" s="17">
        <v>605</v>
      </c>
      <c r="H22" s="17">
        <v>25</v>
      </c>
      <c r="I22" s="17">
        <f t="shared" si="0"/>
        <v>580</v>
      </c>
      <c r="J22" s="16" t="s">
        <v>103</v>
      </c>
      <c r="K22" s="16" t="s">
        <v>32</v>
      </c>
      <c r="L22" s="16" t="s">
        <v>279</v>
      </c>
      <c r="M22" s="16"/>
      <c r="N22" s="16"/>
      <c r="O22" s="16"/>
      <c r="P22" s="16"/>
      <c r="Q22" s="16">
        <v>1</v>
      </c>
    </row>
    <row r="23" spans="1:18" x14ac:dyDescent="0.25">
      <c r="A23" s="16"/>
      <c r="B23" s="16" t="s">
        <v>26</v>
      </c>
      <c r="C23" s="16" t="s">
        <v>333</v>
      </c>
      <c r="D23" s="16" t="s">
        <v>334</v>
      </c>
      <c r="E23" s="16" t="s">
        <v>335</v>
      </c>
      <c r="F23" s="17">
        <v>7</v>
      </c>
      <c r="G23" s="17">
        <v>770</v>
      </c>
      <c r="H23" s="17">
        <v>30</v>
      </c>
      <c r="I23" s="17">
        <f t="shared" si="0"/>
        <v>740</v>
      </c>
      <c r="J23" s="16" t="s">
        <v>103</v>
      </c>
      <c r="K23" s="16" t="s">
        <v>32</v>
      </c>
      <c r="L23" s="16" t="s">
        <v>279</v>
      </c>
      <c r="M23" s="16"/>
      <c r="N23" s="16"/>
      <c r="O23" s="16"/>
      <c r="P23" s="16"/>
      <c r="Q23" s="16">
        <v>1</v>
      </c>
    </row>
    <row r="24" spans="1:18" x14ac:dyDescent="0.25">
      <c r="A24" s="16"/>
      <c r="B24" s="16" t="s">
        <v>26</v>
      </c>
      <c r="C24" s="16" t="s">
        <v>251</v>
      </c>
      <c r="D24" s="16" t="s">
        <v>336</v>
      </c>
      <c r="E24" s="16" t="s">
        <v>253</v>
      </c>
      <c r="F24" s="17">
        <v>7</v>
      </c>
      <c r="G24" s="17">
        <v>890</v>
      </c>
      <c r="H24" s="17">
        <v>30</v>
      </c>
      <c r="I24" s="17">
        <f t="shared" si="0"/>
        <v>860</v>
      </c>
      <c r="J24" s="16" t="s">
        <v>103</v>
      </c>
      <c r="K24" s="16" t="s">
        <v>32</v>
      </c>
      <c r="L24" s="16" t="s">
        <v>279</v>
      </c>
      <c r="M24" s="16"/>
      <c r="N24" s="16"/>
      <c r="O24" s="16"/>
      <c r="P24" s="16"/>
      <c r="Q24" s="16">
        <v>1</v>
      </c>
    </row>
    <row r="25" spans="1:18" x14ac:dyDescent="0.25">
      <c r="A25" s="16"/>
      <c r="B25" s="16" t="s">
        <v>26</v>
      </c>
      <c r="C25" s="16" t="s">
        <v>337</v>
      </c>
      <c r="D25" s="16" t="s">
        <v>338</v>
      </c>
      <c r="E25" s="16" t="s">
        <v>339</v>
      </c>
      <c r="F25" s="17">
        <v>7</v>
      </c>
      <c r="G25" s="17">
        <v>890</v>
      </c>
      <c r="H25" s="17">
        <v>30</v>
      </c>
      <c r="I25" s="17">
        <f t="shared" si="0"/>
        <v>860</v>
      </c>
      <c r="J25" s="16" t="s">
        <v>103</v>
      </c>
      <c r="K25" s="16" t="s">
        <v>32</v>
      </c>
      <c r="L25" s="16" t="s">
        <v>279</v>
      </c>
      <c r="M25" s="16"/>
      <c r="N25" s="16"/>
      <c r="O25" s="16"/>
      <c r="P25" s="16"/>
      <c r="Q25" s="16">
        <v>1</v>
      </c>
    </row>
    <row r="26" spans="1:18" x14ac:dyDescent="0.25">
      <c r="A26" s="16"/>
      <c r="B26" s="16" t="s">
        <v>26</v>
      </c>
      <c r="C26" s="16" t="s">
        <v>340</v>
      </c>
      <c r="D26" s="16" t="s">
        <v>341</v>
      </c>
      <c r="E26" s="16" t="s">
        <v>342</v>
      </c>
      <c r="F26" s="16" t="s">
        <v>40</v>
      </c>
      <c r="G26" s="17">
        <v>975</v>
      </c>
      <c r="H26" s="17">
        <v>35</v>
      </c>
      <c r="I26" s="17">
        <f t="shared" si="0"/>
        <v>940</v>
      </c>
      <c r="J26" s="16" t="s">
        <v>103</v>
      </c>
      <c r="K26" s="16" t="s">
        <v>32</v>
      </c>
      <c r="L26" s="16" t="s">
        <v>279</v>
      </c>
      <c r="M26" s="16"/>
      <c r="N26" s="16"/>
      <c r="O26" s="16"/>
      <c r="P26" s="16"/>
      <c r="Q26" s="16">
        <v>1</v>
      </c>
    </row>
    <row r="27" spans="1:18" s="21" customFormat="1" x14ac:dyDescent="0.25">
      <c r="A27" s="19"/>
      <c r="B27" s="19" t="s">
        <v>26</v>
      </c>
      <c r="C27" s="19" t="s">
        <v>343</v>
      </c>
      <c r="D27" s="19" t="s">
        <v>344</v>
      </c>
      <c r="E27" s="19" t="s">
        <v>345</v>
      </c>
      <c r="F27" s="19" t="s">
        <v>40</v>
      </c>
      <c r="G27" s="20">
        <v>0</v>
      </c>
      <c r="H27" s="20">
        <v>35</v>
      </c>
      <c r="I27" s="20">
        <f t="shared" si="0"/>
        <v>-35</v>
      </c>
      <c r="J27" s="19" t="s">
        <v>103</v>
      </c>
      <c r="K27" s="19" t="s">
        <v>32</v>
      </c>
      <c r="L27" s="19" t="s">
        <v>279</v>
      </c>
      <c r="M27" s="19" t="s">
        <v>68</v>
      </c>
      <c r="N27" s="19"/>
      <c r="O27" s="19"/>
      <c r="P27" s="19"/>
      <c r="Q27" s="19">
        <v>1</v>
      </c>
      <c r="R27" s="22">
        <f>H27</f>
        <v>35</v>
      </c>
    </row>
    <row r="28" spans="1:18" x14ac:dyDescent="0.25">
      <c r="A28" s="16"/>
      <c r="B28" s="16" t="s">
        <v>26</v>
      </c>
      <c r="C28" s="16" t="s">
        <v>346</v>
      </c>
      <c r="D28" s="16" t="s">
        <v>347</v>
      </c>
      <c r="E28" s="16" t="s">
        <v>348</v>
      </c>
      <c r="F28" s="17">
        <v>7</v>
      </c>
      <c r="G28" s="17">
        <v>800</v>
      </c>
      <c r="H28" s="17">
        <v>30</v>
      </c>
      <c r="I28" s="17">
        <f t="shared" si="0"/>
        <v>770</v>
      </c>
      <c r="J28" s="16" t="s">
        <v>103</v>
      </c>
      <c r="K28" s="16" t="s">
        <v>32</v>
      </c>
      <c r="L28" s="16" t="s">
        <v>279</v>
      </c>
      <c r="M28" s="16"/>
      <c r="N28" s="16"/>
      <c r="O28" s="16"/>
      <c r="P28" s="16"/>
      <c r="Q28" s="16">
        <v>1</v>
      </c>
    </row>
    <row r="29" spans="1:18" x14ac:dyDescent="0.25">
      <c r="A29" s="16"/>
      <c r="B29" s="16" t="s">
        <v>26</v>
      </c>
      <c r="C29" s="16" t="s">
        <v>135</v>
      </c>
      <c r="D29" s="16" t="s">
        <v>349</v>
      </c>
      <c r="E29" s="16" t="s">
        <v>137</v>
      </c>
      <c r="F29" s="17">
        <v>4</v>
      </c>
      <c r="G29" s="17">
        <v>1105</v>
      </c>
      <c r="H29" s="17">
        <v>25</v>
      </c>
      <c r="I29" s="17">
        <f t="shared" si="0"/>
        <v>1080</v>
      </c>
      <c r="J29" s="16" t="s">
        <v>103</v>
      </c>
      <c r="K29" s="16" t="s">
        <v>32</v>
      </c>
      <c r="L29" s="16" t="s">
        <v>279</v>
      </c>
      <c r="M29" s="16"/>
      <c r="N29" s="16"/>
      <c r="O29" s="16"/>
      <c r="P29" s="16"/>
      <c r="Q29" s="16">
        <v>1</v>
      </c>
    </row>
    <row r="30" spans="1:18" x14ac:dyDescent="0.25">
      <c r="A30" s="16"/>
      <c r="B30" s="16" t="s">
        <v>26</v>
      </c>
      <c r="C30" s="16" t="s">
        <v>350</v>
      </c>
      <c r="D30" s="16" t="s">
        <v>351</v>
      </c>
      <c r="E30" s="16" t="s">
        <v>352</v>
      </c>
      <c r="F30" s="17">
        <v>1</v>
      </c>
      <c r="G30" s="17">
        <v>2420</v>
      </c>
      <c r="H30" s="17">
        <v>30</v>
      </c>
      <c r="I30" s="17">
        <f t="shared" si="0"/>
        <v>2390</v>
      </c>
      <c r="J30" s="16" t="s">
        <v>103</v>
      </c>
      <c r="K30" s="16" t="s">
        <v>32</v>
      </c>
      <c r="L30" s="16" t="s">
        <v>279</v>
      </c>
      <c r="M30" s="18" t="s">
        <v>55</v>
      </c>
      <c r="N30" s="16"/>
      <c r="O30" s="16"/>
      <c r="P30" s="16"/>
      <c r="Q30" s="16">
        <v>1</v>
      </c>
      <c r="R30" s="10">
        <f>H30</f>
        <v>30</v>
      </c>
    </row>
    <row r="31" spans="1:18" x14ac:dyDescent="0.25">
      <c r="A31" s="16"/>
      <c r="B31" s="16" t="s">
        <v>26</v>
      </c>
      <c r="C31" s="16" t="s">
        <v>353</v>
      </c>
      <c r="D31" s="16" t="s">
        <v>354</v>
      </c>
      <c r="E31" s="16" t="s">
        <v>355</v>
      </c>
      <c r="F31" s="16" t="s">
        <v>93</v>
      </c>
      <c r="G31" s="17">
        <v>0</v>
      </c>
      <c r="H31" s="17">
        <v>25</v>
      </c>
      <c r="I31" s="17">
        <f t="shared" si="0"/>
        <v>-25</v>
      </c>
      <c r="J31" s="16" t="s">
        <v>103</v>
      </c>
      <c r="K31" s="16" t="s">
        <v>32</v>
      </c>
      <c r="L31" s="16" t="s">
        <v>279</v>
      </c>
      <c r="M31" s="16"/>
      <c r="N31" s="16"/>
      <c r="O31" s="16"/>
      <c r="P31" s="16"/>
      <c r="Q31" s="16">
        <v>1</v>
      </c>
      <c r="R31" s="10">
        <f>H31</f>
        <v>25</v>
      </c>
    </row>
    <row r="32" spans="1:18" x14ac:dyDescent="0.25">
      <c r="A32" s="16"/>
      <c r="B32" s="16" t="s">
        <v>26</v>
      </c>
      <c r="C32" s="16" t="s">
        <v>356</v>
      </c>
      <c r="D32" s="16" t="s">
        <v>357</v>
      </c>
      <c r="E32" s="16" t="s">
        <v>358</v>
      </c>
      <c r="F32" s="17">
        <v>4</v>
      </c>
      <c r="G32" s="17">
        <v>565</v>
      </c>
      <c r="H32" s="17">
        <v>25</v>
      </c>
      <c r="I32" s="17">
        <f t="shared" si="0"/>
        <v>540</v>
      </c>
      <c r="J32" s="16" t="s">
        <v>103</v>
      </c>
      <c r="K32" s="16" t="s">
        <v>32</v>
      </c>
      <c r="L32" s="16" t="s">
        <v>279</v>
      </c>
      <c r="M32" s="16"/>
      <c r="N32" s="16"/>
      <c r="O32" s="16"/>
      <c r="P32" s="16"/>
      <c r="Q32" s="16">
        <v>1</v>
      </c>
    </row>
    <row r="33" spans="1:17" x14ac:dyDescent="0.25">
      <c r="A33" s="16"/>
      <c r="B33" s="16" t="s">
        <v>26</v>
      </c>
      <c r="C33" s="16" t="s">
        <v>231</v>
      </c>
      <c r="D33" s="16" t="s">
        <v>359</v>
      </c>
      <c r="E33" s="16" t="s">
        <v>360</v>
      </c>
      <c r="F33" s="17">
        <v>3</v>
      </c>
      <c r="G33" s="17">
        <v>955</v>
      </c>
      <c r="H33" s="17">
        <v>25</v>
      </c>
      <c r="I33" s="17">
        <f t="shared" si="0"/>
        <v>930</v>
      </c>
      <c r="J33" s="16" t="s">
        <v>103</v>
      </c>
      <c r="K33" s="16" t="s">
        <v>32</v>
      </c>
      <c r="L33" s="16" t="s">
        <v>279</v>
      </c>
      <c r="M33" s="16"/>
      <c r="N33" s="16"/>
      <c r="O33" s="16"/>
      <c r="P33" s="16"/>
      <c r="Q33" s="16">
        <v>1</v>
      </c>
    </row>
    <row r="34" spans="1:17" x14ac:dyDescent="0.25">
      <c r="A34" s="16"/>
      <c r="B34" s="16" t="s">
        <v>26</v>
      </c>
      <c r="C34" s="16" t="s">
        <v>361</v>
      </c>
      <c r="D34" s="16" t="s">
        <v>362</v>
      </c>
      <c r="E34" s="16" t="s">
        <v>363</v>
      </c>
      <c r="F34" s="16" t="s">
        <v>93</v>
      </c>
      <c r="G34" s="17">
        <v>565</v>
      </c>
      <c r="H34" s="17">
        <v>25</v>
      </c>
      <c r="I34" s="17">
        <f t="shared" si="0"/>
        <v>540</v>
      </c>
      <c r="J34" s="16" t="s">
        <v>103</v>
      </c>
      <c r="K34" s="16" t="s">
        <v>32</v>
      </c>
      <c r="L34" s="16" t="s">
        <v>279</v>
      </c>
      <c r="M34" s="16"/>
      <c r="N34" s="16"/>
      <c r="O34" s="16"/>
      <c r="P34" s="16"/>
      <c r="Q34" s="16">
        <v>1</v>
      </c>
    </row>
    <row r="35" spans="1:17" x14ac:dyDescent="0.25">
      <c r="A35" s="16"/>
      <c r="B35" s="16" t="s">
        <v>26</v>
      </c>
      <c r="C35" s="16" t="s">
        <v>364</v>
      </c>
      <c r="D35" s="16" t="s">
        <v>365</v>
      </c>
      <c r="E35" s="16" t="s">
        <v>366</v>
      </c>
      <c r="F35" s="17">
        <v>1</v>
      </c>
      <c r="G35" s="17">
        <v>515</v>
      </c>
      <c r="H35" s="17">
        <v>25</v>
      </c>
      <c r="I35" s="17">
        <f t="shared" si="0"/>
        <v>490</v>
      </c>
      <c r="J35" s="16" t="s">
        <v>103</v>
      </c>
      <c r="K35" s="16" t="s">
        <v>32</v>
      </c>
      <c r="L35" s="16" t="s">
        <v>279</v>
      </c>
      <c r="M35" s="16"/>
      <c r="N35" s="16"/>
      <c r="O35" s="16"/>
      <c r="P35" s="16"/>
      <c r="Q35" s="16">
        <v>1</v>
      </c>
    </row>
    <row r="36" spans="1:17" x14ac:dyDescent="0.25">
      <c r="A36" s="16"/>
      <c r="B36" s="16" t="s">
        <v>26</v>
      </c>
      <c r="C36" s="16" t="s">
        <v>367</v>
      </c>
      <c r="D36" s="16" t="s">
        <v>368</v>
      </c>
      <c r="E36" s="16" t="s">
        <v>369</v>
      </c>
      <c r="F36" s="17">
        <v>1</v>
      </c>
      <c r="G36" s="17">
        <v>565</v>
      </c>
      <c r="H36" s="17">
        <v>25</v>
      </c>
      <c r="I36" s="17">
        <f t="shared" si="0"/>
        <v>540</v>
      </c>
      <c r="J36" s="16" t="s">
        <v>103</v>
      </c>
      <c r="K36" s="16" t="s">
        <v>32</v>
      </c>
      <c r="L36" s="16" t="s">
        <v>279</v>
      </c>
      <c r="M36" s="16"/>
      <c r="N36" s="16"/>
      <c r="O36" s="16"/>
      <c r="P36" s="16"/>
      <c r="Q36" s="16">
        <v>1</v>
      </c>
    </row>
    <row r="37" spans="1:17" x14ac:dyDescent="0.25">
      <c r="A37" s="16" t="s">
        <v>141</v>
      </c>
      <c r="B37" s="16" t="s">
        <v>26</v>
      </c>
      <c r="C37" s="16" t="s">
        <v>370</v>
      </c>
      <c r="D37" s="16"/>
      <c r="E37" s="16" t="s">
        <v>371</v>
      </c>
      <c r="F37" s="16" t="s">
        <v>93</v>
      </c>
      <c r="G37" s="17">
        <v>510</v>
      </c>
      <c r="H37" s="17">
        <v>30</v>
      </c>
      <c r="I37" s="17">
        <f t="shared" si="0"/>
        <v>480</v>
      </c>
      <c r="J37" s="16" t="s">
        <v>103</v>
      </c>
      <c r="K37" s="16" t="s">
        <v>32</v>
      </c>
      <c r="L37" s="16" t="s">
        <v>279</v>
      </c>
      <c r="M37" s="16"/>
      <c r="N37" s="16"/>
      <c r="O37" s="16"/>
      <c r="P37" s="16"/>
      <c r="Q37" s="16">
        <v>1</v>
      </c>
    </row>
    <row r="38" spans="1:17" s="2" customFormat="1" x14ac:dyDescent="0.25">
      <c r="A38" s="23"/>
      <c r="B38" s="23" t="s">
        <v>26</v>
      </c>
      <c r="C38" s="23" t="s">
        <v>372</v>
      </c>
      <c r="D38" s="23" t="s">
        <v>373</v>
      </c>
      <c r="E38" s="23" t="s">
        <v>374</v>
      </c>
      <c r="F38" s="24">
        <v>8</v>
      </c>
      <c r="G38" s="24">
        <v>850</v>
      </c>
      <c r="H38" s="24">
        <v>30</v>
      </c>
      <c r="I38" s="24">
        <f t="shared" si="0"/>
        <v>820</v>
      </c>
      <c r="J38" s="23" t="s">
        <v>269</v>
      </c>
      <c r="K38" s="23" t="s">
        <v>32</v>
      </c>
      <c r="L38" s="23" t="s">
        <v>375</v>
      </c>
      <c r="M38" s="23" t="s">
        <v>157</v>
      </c>
      <c r="N38" s="23" t="s">
        <v>271</v>
      </c>
      <c r="O38" s="23" t="s">
        <v>271</v>
      </c>
      <c r="P38" s="23" t="s">
        <v>272</v>
      </c>
      <c r="Q38" s="24">
        <v>1</v>
      </c>
    </row>
    <row r="40" spans="1:17" x14ac:dyDescent="0.25">
      <c r="D40" s="1">
        <f>COUNTA(D3:D38)</f>
        <v>34</v>
      </c>
      <c r="G40" s="1">
        <f t="shared" ref="G40:Q40" si="1">SUBTOTAL(9,G3:G38)</f>
        <v>28365</v>
      </c>
      <c r="H40" s="1">
        <f t="shared" si="1"/>
        <v>1000</v>
      </c>
      <c r="I40" s="1">
        <f t="shared" si="1"/>
        <v>27365</v>
      </c>
      <c r="J40" s="1">
        <f t="shared" si="1"/>
        <v>0</v>
      </c>
      <c r="K40" s="1">
        <f t="shared" si="1"/>
        <v>0</v>
      </c>
      <c r="L40" s="1">
        <f t="shared" si="1"/>
        <v>0</v>
      </c>
      <c r="M40" s="1">
        <f t="shared" si="1"/>
        <v>0</v>
      </c>
      <c r="N40" s="1">
        <f t="shared" si="1"/>
        <v>0</v>
      </c>
      <c r="O40" s="1">
        <f t="shared" si="1"/>
        <v>0</v>
      </c>
      <c r="P40" s="1">
        <f t="shared" si="1"/>
        <v>0</v>
      </c>
      <c r="Q40" s="1">
        <f t="shared" si="1"/>
        <v>36</v>
      </c>
    </row>
    <row r="41" spans="1:17" x14ac:dyDescent="0.25">
      <c r="H41">
        <f>-4*17</f>
        <v>-68</v>
      </c>
      <c r="I41">
        <v>17</v>
      </c>
    </row>
    <row r="42" spans="1:17" x14ac:dyDescent="0.25">
      <c r="A42" s="1" t="s">
        <v>26</v>
      </c>
      <c r="C42" s="34" t="s">
        <v>144</v>
      </c>
      <c r="D42" s="34"/>
      <c r="E42" s="4" t="s">
        <v>145</v>
      </c>
      <c r="H42">
        <f>-4*25</f>
        <v>-100</v>
      </c>
      <c r="K42" s="11" t="s">
        <v>32</v>
      </c>
      <c r="L42" s="11" t="s">
        <v>146</v>
      </c>
      <c r="M42" s="11" t="s">
        <v>145</v>
      </c>
      <c r="O42" s="4" t="s">
        <v>147</v>
      </c>
    </row>
    <row r="43" spans="1:17" x14ac:dyDescent="0.25">
      <c r="A43" t="s">
        <v>279</v>
      </c>
      <c r="B43" s="3" t="s">
        <v>148</v>
      </c>
      <c r="C43" s="35">
        <f>SUMIFS(I$3:I$38,B$3:B$38,A$42,L$3:L$38,A$43)</f>
        <v>26545</v>
      </c>
      <c r="D43" s="35"/>
      <c r="E43" s="3">
        <f>SUMIFS(Q$3:Q$38,B$3:B$38,A$42,L$3:L$38,A$43)</f>
        <v>35</v>
      </c>
      <c r="F43" t="s">
        <v>149</v>
      </c>
      <c r="H43">
        <f>-2*30</f>
        <v>-60</v>
      </c>
      <c r="K43" t="s">
        <v>150</v>
      </c>
      <c r="L43">
        <f>SUMIFS(G$3:G$38,J$3:J$38,K$42)</f>
        <v>6145</v>
      </c>
      <c r="M43">
        <f>SUMIFS(Q$3:Q$38,J$3:J$38,K$42)-INT(COUNTIFS(J$3:J$38,K$42,M$3:M$38,"*gộp*")/2)</f>
        <v>7</v>
      </c>
      <c r="O43" t="s">
        <v>32</v>
      </c>
      <c r="P43">
        <f>L48</f>
        <v>5919</v>
      </c>
    </row>
    <row r="44" spans="1:17" x14ac:dyDescent="0.25">
      <c r="B44" s="2" t="s">
        <v>152</v>
      </c>
      <c r="C44" s="36">
        <v>0</v>
      </c>
      <c r="D44" s="36"/>
      <c r="K44" t="s">
        <v>153</v>
      </c>
      <c r="L44">
        <f>-SUMIFS(H$3:H$38,J$3:J$38,K$42)+M44*5</f>
        <v>-160</v>
      </c>
      <c r="M44">
        <f>SUMIFS(Q$3:Q$38,J$3:J$38,K$42)-INT(COUNTIFS(J$3:J$38,K$42,M$3:M$38,"*gộp*")/2)</f>
        <v>7</v>
      </c>
      <c r="O44" t="s">
        <v>103</v>
      </c>
      <c r="P44">
        <f>L56</f>
        <v>11735</v>
      </c>
    </row>
    <row r="45" spans="1:17" x14ac:dyDescent="0.25">
      <c r="B45" s="2" t="s">
        <v>154</v>
      </c>
      <c r="C45" s="36">
        <f>-SUMIFS(I$3:I$38,B$3:B$38,A$42,P$3:P$38,"xx",N$3:N$38,"x")</f>
        <v>-820</v>
      </c>
      <c r="D45" s="36"/>
      <c r="E45" s="2">
        <f>SUMIFS(Q$3:Q$38,B$3:B$38,A$42,P$3:P$38,"xx",N$3:N$38,"x")</f>
        <v>1</v>
      </c>
      <c r="K45" t="s">
        <v>155</v>
      </c>
      <c r="L45">
        <f>-M45*2</f>
        <v>-66</v>
      </c>
      <c r="M45">
        <f>E46-(COUNTIFS(M$3:M$38,"*gộp*")/2)-COUNTIFS(M$3:M$38,"*đơn trả*")-COUNTIFS(M$3:M$38,"*hàng tỉnh*")</f>
        <v>33</v>
      </c>
      <c r="O45" t="s">
        <v>376</v>
      </c>
      <c r="P45">
        <f>L64</f>
        <v>8175</v>
      </c>
    </row>
    <row r="46" spans="1:17" x14ac:dyDescent="0.25">
      <c r="B46" s="4" t="s">
        <v>156</v>
      </c>
      <c r="C46" s="34">
        <f>SUBTOTAL(9,C43:C45)</f>
        <v>25725</v>
      </c>
      <c r="D46" s="34"/>
      <c r="E46">
        <f>E43</f>
        <v>35</v>
      </c>
      <c r="K46" s="12" t="s">
        <v>157</v>
      </c>
      <c r="O46" t="s">
        <v>158</v>
      </c>
      <c r="P46">
        <f>-C50</f>
        <v>-25725</v>
      </c>
    </row>
    <row r="47" spans="1:17" x14ac:dyDescent="0.25">
      <c r="B47" s="2" t="s">
        <v>159</v>
      </c>
      <c r="C47" s="32"/>
      <c r="D47" s="32"/>
      <c r="K47" s="2" t="s">
        <v>160</v>
      </c>
      <c r="O47" s="4" t="s">
        <v>161</v>
      </c>
      <c r="P47" s="4">
        <f>SUBTOTAL(9,P43:P46)</f>
        <v>104</v>
      </c>
    </row>
    <row r="48" spans="1:17" x14ac:dyDescent="0.25">
      <c r="B48" s="13" t="s">
        <v>162</v>
      </c>
      <c r="C48" s="32"/>
      <c r="D48" s="32"/>
      <c r="L48" s="14">
        <f>SUBTOTAL(9,L43:L47)</f>
        <v>5919</v>
      </c>
      <c r="M48" s="14">
        <f>M43</f>
        <v>7</v>
      </c>
    </row>
    <row r="50" spans="2:13" x14ac:dyDescent="0.25">
      <c r="B50" s="1" t="s">
        <v>163</v>
      </c>
      <c r="C50" s="33">
        <f>C46+C47+C48</f>
        <v>25725</v>
      </c>
      <c r="D50" s="33"/>
      <c r="E50" s="1" t="s">
        <v>164</v>
      </c>
      <c r="K50" s="11" t="s">
        <v>103</v>
      </c>
      <c r="L50" s="11" t="s">
        <v>146</v>
      </c>
      <c r="M50" s="11" t="s">
        <v>145</v>
      </c>
    </row>
    <row r="51" spans="2:13" x14ac:dyDescent="0.25">
      <c r="K51" t="s">
        <v>150</v>
      </c>
      <c r="L51">
        <f>SUMIFS(G$3:G$38,J$3:J$38,K$50)</f>
        <v>12130</v>
      </c>
      <c r="M51">
        <f>SUMIFS(Q$3:Q$38,J$3:J$38,K$50)-INT(COUNTIFS(J$3:J$38,K$50,M$3:M$38,"*gộp*")/2)</f>
        <v>17</v>
      </c>
    </row>
    <row r="52" spans="2:13" x14ac:dyDescent="0.25">
      <c r="K52" t="s">
        <v>153</v>
      </c>
      <c r="L52">
        <f>-SUMIFS(H$3:H$38,J$3:J$38,K$50)+M52*5</f>
        <v>-395</v>
      </c>
      <c r="M52">
        <f>SUMIFS(Q$3:Q$38,J$3:J$38,K$50)-INT(COUNTIFS(J$3:J$38,K$50,M$3:M$38,"*gộp*")/2)</f>
        <v>17</v>
      </c>
    </row>
    <row r="53" spans="2:13" x14ac:dyDescent="0.25">
      <c r="K53" t="s">
        <v>155</v>
      </c>
    </row>
    <row r="54" spans="2:13" x14ac:dyDescent="0.25">
      <c r="K54" s="12" t="s">
        <v>157</v>
      </c>
    </row>
    <row r="55" spans="2:13" x14ac:dyDescent="0.25">
      <c r="K55" s="2" t="s">
        <v>160</v>
      </c>
    </row>
    <row r="56" spans="2:13" x14ac:dyDescent="0.25">
      <c r="L56" s="14">
        <f>SUBTOTAL(9,L51:L55)</f>
        <v>11735</v>
      </c>
      <c r="M56" s="14">
        <f>M51</f>
        <v>17</v>
      </c>
    </row>
    <row r="58" spans="2:13" x14ac:dyDescent="0.25">
      <c r="K58" s="11" t="s">
        <v>278</v>
      </c>
      <c r="L58" s="11" t="s">
        <v>146</v>
      </c>
      <c r="M58" s="11" t="s">
        <v>145</v>
      </c>
    </row>
    <row r="59" spans="2:13" x14ac:dyDescent="0.25">
      <c r="K59" t="s">
        <v>150</v>
      </c>
      <c r="L59">
        <f>SUMIFS(G$3:G$38,J$3:J$38,K$58)</f>
        <v>9240</v>
      </c>
      <c r="M59">
        <f>SUMIFS(Q$3:Q$38,J$3:J$38,K$58)-INT(COUNTIFS(J$3:J$38,K$58,M$3:M$38,"*gộp*")/2)</f>
        <v>10</v>
      </c>
    </row>
    <row r="60" spans="2:13" x14ac:dyDescent="0.25">
      <c r="K60" t="s">
        <v>153</v>
      </c>
      <c r="L60">
        <f>SUM(H41:H43)</f>
        <v>-228</v>
      </c>
      <c r="M60">
        <f>SUMIFS(Q$3:Q$38,J$3:J$38,K$58)-INT(COUNTIFS(J$3:J$38,K$58,M$3:M$38,"*gộp*")/2)</f>
        <v>10</v>
      </c>
    </row>
    <row r="61" spans="2:13" x14ac:dyDescent="0.25">
      <c r="K61" t="s">
        <v>155</v>
      </c>
    </row>
    <row r="62" spans="2:13" x14ac:dyDescent="0.25">
      <c r="K62" s="12" t="s">
        <v>157</v>
      </c>
      <c r="L62" s="25">
        <v>-837</v>
      </c>
      <c r="M62" s="25" t="s">
        <v>274</v>
      </c>
    </row>
    <row r="63" spans="2:13" x14ac:dyDescent="0.25">
      <c r="K63" s="2" t="s">
        <v>160</v>
      </c>
    </row>
    <row r="64" spans="2:13" x14ac:dyDescent="0.25">
      <c r="L64" s="14">
        <f>SUBTOTAL(9,L59:L63)</f>
        <v>8175</v>
      </c>
      <c r="M64" s="14">
        <f>M59</f>
        <v>10</v>
      </c>
    </row>
  </sheetData>
  <autoFilter ref="A2:P38" xr:uid="{00000000-0009-0000-0000-000003000000}">
    <sortState xmlns:xlrd2="http://schemas.microsoft.com/office/spreadsheetml/2017/richdata2" ref="A3:P38">
      <sortCondition ref="J2:J38"/>
    </sortState>
  </autoFilter>
  <mergeCells count="8">
    <mergeCell ref="C47:D47"/>
    <mergeCell ref="C48:D48"/>
    <mergeCell ref="C50:D50"/>
    <mergeCell ref="C42:D42"/>
    <mergeCell ref="C43:D43"/>
    <mergeCell ref="C44:D44"/>
    <mergeCell ref="C45:D45"/>
    <mergeCell ref="C46:D46"/>
  </mergeCells>
  <pageMargins left="0.75" right="0.75" top="0.75" bottom="0.5" header="0.5" footer="0.7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R57"/>
  <sheetViews>
    <sheetView workbookViewId="0">
      <selection activeCell="J22" sqref="J22"/>
    </sheetView>
  </sheetViews>
  <sheetFormatPr defaultRowHeight="15" x14ac:dyDescent="0.25"/>
  <cols>
    <col min="1" max="1" width="12.7109375" customWidth="1"/>
    <col min="2" max="2" width="17.7109375" customWidth="1"/>
    <col min="3" max="3" width="20.140625" customWidth="1"/>
    <col min="4" max="4" width="9.85546875" customWidth="1"/>
    <col min="5" max="5" width="71.28515625" customWidth="1"/>
    <col min="6" max="6" width="10.71093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0.42578125" customWidth="1"/>
    <col min="13" max="13" width="13.85546875" customWidth="1"/>
    <col min="14" max="14" width="9.7109375" customWidth="1"/>
    <col min="15" max="15" width="10.42578125" customWidth="1"/>
    <col min="16" max="16" width="7" bestFit="1" customWidth="1"/>
    <col min="17" max="17" width="6.42578125" customWidth="1"/>
  </cols>
  <sheetData>
    <row r="2" spans="1:18" x14ac:dyDescent="0.25">
      <c r="A2" s="15" t="s">
        <v>10</v>
      </c>
      <c r="B2" s="15" t="s">
        <v>11</v>
      </c>
      <c r="C2" s="15" t="s">
        <v>12</v>
      </c>
      <c r="D2" s="15" t="s">
        <v>13</v>
      </c>
      <c r="E2" s="15" t="s">
        <v>14</v>
      </c>
      <c r="F2" s="15" t="s">
        <v>15</v>
      </c>
      <c r="G2" s="15" t="s">
        <v>16</v>
      </c>
      <c r="H2" s="15" t="s">
        <v>17</v>
      </c>
      <c r="I2" s="15" t="s">
        <v>18</v>
      </c>
      <c r="J2" s="15" t="s">
        <v>19</v>
      </c>
      <c r="K2" s="15" t="s">
        <v>20</v>
      </c>
      <c r="L2" s="15" t="s">
        <v>21</v>
      </c>
      <c r="M2" s="15" t="s">
        <v>22</v>
      </c>
      <c r="N2" s="15" t="s">
        <v>23</v>
      </c>
      <c r="O2" s="15" t="s">
        <v>24</v>
      </c>
      <c r="P2" s="15" t="s">
        <v>25</v>
      </c>
      <c r="Q2" s="15" t="s">
        <v>165</v>
      </c>
    </row>
    <row r="3" spans="1:18" x14ac:dyDescent="0.25">
      <c r="A3" s="16"/>
      <c r="B3" s="16" t="s">
        <v>26</v>
      </c>
      <c r="C3" s="16" t="s">
        <v>377</v>
      </c>
      <c r="D3" s="16" t="s">
        <v>378</v>
      </c>
      <c r="E3" s="16" t="s">
        <v>379</v>
      </c>
      <c r="F3" s="17">
        <v>6</v>
      </c>
      <c r="G3" s="17">
        <v>0</v>
      </c>
      <c r="H3" s="17">
        <v>25</v>
      </c>
      <c r="I3" s="17">
        <f t="shared" ref="I3:I31" si="0">G3-H3</f>
        <v>-25</v>
      </c>
      <c r="J3" s="16" t="s">
        <v>380</v>
      </c>
      <c r="K3" s="16" t="s">
        <v>32</v>
      </c>
      <c r="L3" s="16" t="s">
        <v>381</v>
      </c>
      <c r="M3" s="16"/>
      <c r="N3" s="16"/>
      <c r="O3" s="16"/>
      <c r="P3" s="16"/>
      <c r="Q3" s="16">
        <v>1</v>
      </c>
      <c r="R3" s="10">
        <f>H3</f>
        <v>25</v>
      </c>
    </row>
    <row r="4" spans="1:18" x14ac:dyDescent="0.25">
      <c r="A4" s="16"/>
      <c r="B4" s="16" t="s">
        <v>26</v>
      </c>
      <c r="C4" s="16" t="s">
        <v>382</v>
      </c>
      <c r="D4" s="16" t="s">
        <v>383</v>
      </c>
      <c r="E4" s="16" t="s">
        <v>384</v>
      </c>
      <c r="F4" s="17">
        <v>8</v>
      </c>
      <c r="G4" s="17">
        <v>960</v>
      </c>
      <c r="H4" s="17">
        <v>30</v>
      </c>
      <c r="I4" s="17">
        <f t="shared" si="0"/>
        <v>930</v>
      </c>
      <c r="J4" s="16" t="s">
        <v>380</v>
      </c>
      <c r="K4" s="16" t="s">
        <v>32</v>
      </c>
      <c r="L4" s="16" t="s">
        <v>381</v>
      </c>
      <c r="M4" s="16"/>
      <c r="N4" s="16"/>
      <c r="O4" s="16"/>
      <c r="P4" s="16"/>
      <c r="Q4" s="16">
        <v>1</v>
      </c>
    </row>
    <row r="5" spans="1:18" x14ac:dyDescent="0.25">
      <c r="A5" s="16"/>
      <c r="B5" s="16" t="s">
        <v>26</v>
      </c>
      <c r="C5" s="16" t="s">
        <v>385</v>
      </c>
      <c r="D5" s="16" t="s">
        <v>386</v>
      </c>
      <c r="E5" s="16" t="s">
        <v>387</v>
      </c>
      <c r="F5" s="17">
        <v>6</v>
      </c>
      <c r="G5" s="17">
        <v>0</v>
      </c>
      <c r="H5" s="17">
        <v>25</v>
      </c>
      <c r="I5" s="17">
        <f t="shared" si="0"/>
        <v>-25</v>
      </c>
      <c r="J5" s="16" t="s">
        <v>380</v>
      </c>
      <c r="K5" s="16" t="s">
        <v>32</v>
      </c>
      <c r="L5" s="16" t="s">
        <v>381</v>
      </c>
      <c r="M5" s="16"/>
      <c r="N5" s="16"/>
      <c r="O5" s="16"/>
      <c r="P5" s="16"/>
      <c r="Q5" s="16">
        <v>1</v>
      </c>
      <c r="R5" s="10">
        <f>H5</f>
        <v>25</v>
      </c>
    </row>
    <row r="6" spans="1:18" x14ac:dyDescent="0.25">
      <c r="A6" s="16"/>
      <c r="B6" s="16" t="s">
        <v>26</v>
      </c>
      <c r="C6" s="16" t="s">
        <v>388</v>
      </c>
      <c r="D6" s="16" t="s">
        <v>389</v>
      </c>
      <c r="E6" s="16" t="s">
        <v>390</v>
      </c>
      <c r="F6" s="17">
        <v>6</v>
      </c>
      <c r="G6" s="17">
        <v>25</v>
      </c>
      <c r="H6" s="17">
        <v>25</v>
      </c>
      <c r="I6" s="17">
        <f t="shared" si="0"/>
        <v>0</v>
      </c>
      <c r="J6" s="16" t="s">
        <v>380</v>
      </c>
      <c r="K6" s="16" t="s">
        <v>32</v>
      </c>
      <c r="L6" s="16" t="s">
        <v>381</v>
      </c>
      <c r="M6" s="16"/>
      <c r="N6" s="16"/>
      <c r="O6" s="16"/>
      <c r="P6" s="16"/>
      <c r="Q6" s="16">
        <v>1</v>
      </c>
    </row>
    <row r="7" spans="1:18" x14ac:dyDescent="0.25">
      <c r="A7" s="16"/>
      <c r="B7" s="16" t="s">
        <v>26</v>
      </c>
      <c r="C7" s="16" t="s">
        <v>391</v>
      </c>
      <c r="D7" s="16" t="s">
        <v>392</v>
      </c>
      <c r="E7" s="16" t="s">
        <v>393</v>
      </c>
      <c r="F7" s="16" t="s">
        <v>51</v>
      </c>
      <c r="G7" s="17">
        <v>0</v>
      </c>
      <c r="H7" s="17">
        <v>30</v>
      </c>
      <c r="I7" s="17">
        <f t="shared" si="0"/>
        <v>-30</v>
      </c>
      <c r="J7" s="16" t="s">
        <v>380</v>
      </c>
      <c r="K7" s="16" t="s">
        <v>32</v>
      </c>
      <c r="L7" s="16" t="s">
        <v>381</v>
      </c>
      <c r="M7" s="16"/>
      <c r="N7" s="16"/>
      <c r="O7" s="16"/>
      <c r="P7" s="16"/>
      <c r="Q7" s="16">
        <v>1</v>
      </c>
      <c r="R7" s="10">
        <f>H7</f>
        <v>30</v>
      </c>
    </row>
    <row r="8" spans="1:18" x14ac:dyDescent="0.25">
      <c r="A8" s="16"/>
      <c r="B8" s="16" t="s">
        <v>26</v>
      </c>
      <c r="C8" s="16" t="s">
        <v>62</v>
      </c>
      <c r="D8" s="16" t="s">
        <v>394</v>
      </c>
      <c r="E8" s="16" t="s">
        <v>64</v>
      </c>
      <c r="F8" s="16" t="s">
        <v>51</v>
      </c>
      <c r="G8" s="17">
        <v>1660</v>
      </c>
      <c r="H8" s="17">
        <v>30</v>
      </c>
      <c r="I8" s="17">
        <f t="shared" si="0"/>
        <v>1630</v>
      </c>
      <c r="J8" s="16" t="s">
        <v>380</v>
      </c>
      <c r="K8" s="16" t="s">
        <v>32</v>
      </c>
      <c r="L8" s="16" t="s">
        <v>381</v>
      </c>
      <c r="M8" s="16"/>
      <c r="N8" s="16"/>
      <c r="O8" s="16"/>
      <c r="P8" s="16"/>
      <c r="Q8" s="16">
        <v>1</v>
      </c>
    </row>
    <row r="9" spans="1:18" x14ac:dyDescent="0.25">
      <c r="A9" s="16"/>
      <c r="B9" s="16" t="s">
        <v>26</v>
      </c>
      <c r="C9" s="16" t="s">
        <v>395</v>
      </c>
      <c r="D9" s="16" t="s">
        <v>396</v>
      </c>
      <c r="E9" s="16" t="s">
        <v>397</v>
      </c>
      <c r="F9" s="17">
        <v>8</v>
      </c>
      <c r="G9" s="17">
        <v>720</v>
      </c>
      <c r="H9" s="17">
        <v>30</v>
      </c>
      <c r="I9" s="17">
        <f t="shared" si="0"/>
        <v>690</v>
      </c>
      <c r="J9" s="16" t="s">
        <v>380</v>
      </c>
      <c r="K9" s="16" t="s">
        <v>32</v>
      </c>
      <c r="L9" s="16" t="s">
        <v>381</v>
      </c>
      <c r="M9" s="16"/>
      <c r="N9" s="16"/>
      <c r="O9" s="16"/>
      <c r="P9" s="16"/>
      <c r="Q9" s="16">
        <v>1</v>
      </c>
    </row>
    <row r="10" spans="1:18" x14ac:dyDescent="0.25">
      <c r="A10" s="16" t="s">
        <v>141</v>
      </c>
      <c r="B10" s="16" t="s">
        <v>26</v>
      </c>
      <c r="C10" s="16" t="s">
        <v>398</v>
      </c>
      <c r="D10" s="16"/>
      <c r="E10" s="16" t="s">
        <v>399</v>
      </c>
      <c r="F10" s="17">
        <v>6</v>
      </c>
      <c r="G10" s="17">
        <v>35</v>
      </c>
      <c r="H10" s="17">
        <v>35</v>
      </c>
      <c r="I10" s="17">
        <f t="shared" si="0"/>
        <v>0</v>
      </c>
      <c r="J10" s="16" t="s">
        <v>380</v>
      </c>
      <c r="K10" s="16" t="s">
        <v>32</v>
      </c>
      <c r="L10" s="16" t="s">
        <v>381</v>
      </c>
      <c r="M10" s="16"/>
      <c r="N10" s="16"/>
      <c r="O10" s="16"/>
      <c r="P10" s="16"/>
      <c r="Q10" s="16">
        <v>1</v>
      </c>
    </row>
    <row r="11" spans="1:18" x14ac:dyDescent="0.25">
      <c r="A11" s="16"/>
      <c r="B11" s="16" t="s">
        <v>26</v>
      </c>
      <c r="C11" s="16" t="s">
        <v>400</v>
      </c>
      <c r="D11" s="16" t="s">
        <v>401</v>
      </c>
      <c r="E11" s="16" t="s">
        <v>402</v>
      </c>
      <c r="F11" s="16" t="s">
        <v>93</v>
      </c>
      <c r="G11" s="17">
        <v>1755</v>
      </c>
      <c r="H11" s="17">
        <v>25</v>
      </c>
      <c r="I11" s="17">
        <f t="shared" si="0"/>
        <v>1730</v>
      </c>
      <c r="J11" s="16" t="s">
        <v>32</v>
      </c>
      <c r="K11" s="16" t="s">
        <v>32</v>
      </c>
      <c r="L11" s="16" t="s">
        <v>381</v>
      </c>
      <c r="M11" s="16"/>
      <c r="N11" s="16"/>
      <c r="O11" s="16"/>
      <c r="P11" s="16"/>
      <c r="Q11" s="16">
        <v>1</v>
      </c>
    </row>
    <row r="12" spans="1:18" x14ac:dyDescent="0.25">
      <c r="A12" s="16"/>
      <c r="B12" s="16" t="s">
        <v>26</v>
      </c>
      <c r="C12" s="16" t="s">
        <v>403</v>
      </c>
      <c r="D12" s="16" t="s">
        <v>404</v>
      </c>
      <c r="E12" s="16" t="s">
        <v>405</v>
      </c>
      <c r="F12" s="16" t="s">
        <v>75</v>
      </c>
      <c r="G12" s="17">
        <v>540</v>
      </c>
      <c r="H12" s="17">
        <v>20</v>
      </c>
      <c r="I12" s="17">
        <f t="shared" si="0"/>
        <v>520</v>
      </c>
      <c r="J12" s="16" t="s">
        <v>32</v>
      </c>
      <c r="K12" s="16" t="s">
        <v>32</v>
      </c>
      <c r="L12" s="16" t="s">
        <v>381</v>
      </c>
      <c r="M12" s="16"/>
      <c r="N12" s="16"/>
      <c r="O12" s="16"/>
      <c r="P12" s="16"/>
      <c r="Q12" s="16">
        <v>1</v>
      </c>
    </row>
    <row r="13" spans="1:18" x14ac:dyDescent="0.25">
      <c r="A13" s="16"/>
      <c r="B13" s="16" t="s">
        <v>26</v>
      </c>
      <c r="C13" s="16" t="s">
        <v>406</v>
      </c>
      <c r="D13" s="16" t="s">
        <v>407</v>
      </c>
      <c r="E13" s="16" t="s">
        <v>408</v>
      </c>
      <c r="F13" s="16" t="s">
        <v>75</v>
      </c>
      <c r="G13" s="17">
        <v>20</v>
      </c>
      <c r="H13" s="17">
        <v>20</v>
      </c>
      <c r="I13" s="17">
        <f t="shared" si="0"/>
        <v>0</v>
      </c>
      <c r="J13" s="16" t="s">
        <v>32</v>
      </c>
      <c r="K13" s="16" t="s">
        <v>32</v>
      </c>
      <c r="L13" s="16" t="s">
        <v>381</v>
      </c>
      <c r="M13" s="16"/>
      <c r="N13" s="16"/>
      <c r="O13" s="16"/>
      <c r="P13" s="16"/>
      <c r="Q13" s="16">
        <v>1</v>
      </c>
    </row>
    <row r="14" spans="1:18" x14ac:dyDescent="0.25">
      <c r="A14" s="16"/>
      <c r="B14" s="16" t="s">
        <v>26</v>
      </c>
      <c r="C14" s="16" t="s">
        <v>409</v>
      </c>
      <c r="D14" s="16" t="s">
        <v>410</v>
      </c>
      <c r="E14" s="16" t="s">
        <v>317</v>
      </c>
      <c r="F14" s="17">
        <v>12</v>
      </c>
      <c r="G14" s="17">
        <v>0</v>
      </c>
      <c r="H14" s="17">
        <v>40</v>
      </c>
      <c r="I14" s="17">
        <f t="shared" si="0"/>
        <v>-40</v>
      </c>
      <c r="J14" s="16" t="s">
        <v>32</v>
      </c>
      <c r="K14" s="16" t="s">
        <v>32</v>
      </c>
      <c r="L14" s="16" t="s">
        <v>381</v>
      </c>
      <c r="M14" s="16"/>
      <c r="N14" s="16"/>
      <c r="O14" s="16"/>
      <c r="P14" s="16"/>
      <c r="Q14" s="16">
        <v>1</v>
      </c>
      <c r="R14" s="10">
        <f>H14</f>
        <v>40</v>
      </c>
    </row>
    <row r="15" spans="1:18" x14ac:dyDescent="0.25">
      <c r="A15" s="16"/>
      <c r="B15" s="16" t="s">
        <v>26</v>
      </c>
      <c r="C15" s="16" t="s">
        <v>411</v>
      </c>
      <c r="D15" s="16" t="s">
        <v>412</v>
      </c>
      <c r="E15" s="16" t="s">
        <v>413</v>
      </c>
      <c r="F15" s="17">
        <v>2</v>
      </c>
      <c r="G15" s="17">
        <v>720</v>
      </c>
      <c r="H15" s="17">
        <v>30</v>
      </c>
      <c r="I15" s="17">
        <f t="shared" si="0"/>
        <v>690</v>
      </c>
      <c r="J15" s="16" t="s">
        <v>32</v>
      </c>
      <c r="K15" s="16" t="s">
        <v>32</v>
      </c>
      <c r="L15" s="16" t="s">
        <v>381</v>
      </c>
      <c r="M15" s="16"/>
      <c r="N15" s="16"/>
      <c r="O15" s="16"/>
      <c r="P15" s="16"/>
      <c r="Q15" s="16">
        <v>1</v>
      </c>
    </row>
    <row r="16" spans="1:18" x14ac:dyDescent="0.25">
      <c r="A16" s="16"/>
      <c r="B16" s="16" t="s">
        <v>26</v>
      </c>
      <c r="C16" s="16" t="s">
        <v>414</v>
      </c>
      <c r="D16" s="16" t="s">
        <v>415</v>
      </c>
      <c r="E16" s="16" t="s">
        <v>416</v>
      </c>
      <c r="F16" s="16" t="s">
        <v>93</v>
      </c>
      <c r="G16" s="17">
        <v>615</v>
      </c>
      <c r="H16" s="17">
        <v>25</v>
      </c>
      <c r="I16" s="17">
        <f t="shared" si="0"/>
        <v>590</v>
      </c>
      <c r="J16" s="16" t="s">
        <v>32</v>
      </c>
      <c r="K16" s="16" t="s">
        <v>32</v>
      </c>
      <c r="L16" s="16" t="s">
        <v>381</v>
      </c>
      <c r="M16" s="16"/>
      <c r="N16" s="16"/>
      <c r="O16" s="16"/>
      <c r="P16" s="16"/>
      <c r="Q16" s="16">
        <v>1</v>
      </c>
    </row>
    <row r="17" spans="1:18" x14ac:dyDescent="0.25">
      <c r="A17" s="16"/>
      <c r="B17" s="16" t="s">
        <v>26</v>
      </c>
      <c r="C17" s="16" t="s">
        <v>417</v>
      </c>
      <c r="D17" s="16" t="s">
        <v>418</v>
      </c>
      <c r="E17" s="16" t="s">
        <v>419</v>
      </c>
      <c r="F17" s="16" t="s">
        <v>75</v>
      </c>
      <c r="G17" s="17">
        <v>2020</v>
      </c>
      <c r="H17" s="17">
        <v>25</v>
      </c>
      <c r="I17" s="17">
        <f t="shared" si="0"/>
        <v>1995</v>
      </c>
      <c r="J17" s="16" t="s">
        <v>32</v>
      </c>
      <c r="K17" s="16" t="s">
        <v>32</v>
      </c>
      <c r="L17" s="16" t="s">
        <v>381</v>
      </c>
      <c r="M17" s="18" t="s">
        <v>55</v>
      </c>
      <c r="N17" s="16"/>
      <c r="O17" s="16"/>
      <c r="P17" s="16"/>
      <c r="Q17" s="16">
        <v>1</v>
      </c>
      <c r="R17" s="10">
        <f>H17</f>
        <v>25</v>
      </c>
    </row>
    <row r="18" spans="1:18" s="21" customFormat="1" x14ac:dyDescent="0.25">
      <c r="A18" s="19"/>
      <c r="B18" s="19" t="s">
        <v>26</v>
      </c>
      <c r="C18" s="19" t="s">
        <v>216</v>
      </c>
      <c r="D18" s="19" t="s">
        <v>420</v>
      </c>
      <c r="E18" s="19" t="s">
        <v>218</v>
      </c>
      <c r="F18" s="19" t="s">
        <v>82</v>
      </c>
      <c r="G18" s="20">
        <v>545</v>
      </c>
      <c r="H18" s="20">
        <v>25</v>
      </c>
      <c r="I18" s="20">
        <f t="shared" si="0"/>
        <v>520</v>
      </c>
      <c r="J18" s="19" t="s">
        <v>32</v>
      </c>
      <c r="K18" s="19" t="s">
        <v>32</v>
      </c>
      <c r="L18" s="19" t="s">
        <v>381</v>
      </c>
      <c r="M18" s="19" t="s">
        <v>68</v>
      </c>
      <c r="N18" s="19"/>
      <c r="O18" s="19"/>
      <c r="P18" s="19"/>
      <c r="Q18" s="19">
        <v>1</v>
      </c>
    </row>
    <row r="19" spans="1:18" x14ac:dyDescent="0.25">
      <c r="A19" s="16" t="s">
        <v>141</v>
      </c>
      <c r="B19" s="16" t="s">
        <v>26</v>
      </c>
      <c r="C19" s="16" t="s">
        <v>421</v>
      </c>
      <c r="D19" s="16"/>
      <c r="E19" s="16" t="s">
        <v>422</v>
      </c>
      <c r="F19" s="16" t="s">
        <v>82</v>
      </c>
      <c r="G19" s="17">
        <v>3295</v>
      </c>
      <c r="H19" s="17">
        <v>35</v>
      </c>
      <c r="I19" s="17">
        <f t="shared" si="0"/>
        <v>3260</v>
      </c>
      <c r="J19" s="16" t="s">
        <v>32</v>
      </c>
      <c r="K19" s="16" t="s">
        <v>32</v>
      </c>
      <c r="L19" s="16" t="s">
        <v>381</v>
      </c>
      <c r="M19" s="16"/>
      <c r="N19" s="16"/>
      <c r="O19" s="16"/>
      <c r="P19" s="16"/>
      <c r="Q19" s="16">
        <v>1</v>
      </c>
    </row>
    <row r="20" spans="1:18" x14ac:dyDescent="0.25">
      <c r="A20" s="16"/>
      <c r="B20" s="16" t="s">
        <v>26</v>
      </c>
      <c r="C20" s="16" t="s">
        <v>423</v>
      </c>
      <c r="D20" s="16" t="s">
        <v>424</v>
      </c>
      <c r="E20" s="16" t="s">
        <v>425</v>
      </c>
      <c r="F20" s="16" t="s">
        <v>93</v>
      </c>
      <c r="G20" s="17">
        <v>915</v>
      </c>
      <c r="H20" s="17">
        <v>25</v>
      </c>
      <c r="I20" s="17">
        <f t="shared" si="0"/>
        <v>890</v>
      </c>
      <c r="J20" s="16" t="s">
        <v>103</v>
      </c>
      <c r="K20" s="16" t="s">
        <v>32</v>
      </c>
      <c r="L20" s="16" t="s">
        <v>381</v>
      </c>
      <c r="M20" s="16"/>
      <c r="N20" s="16"/>
      <c r="O20" s="16"/>
      <c r="P20" s="16"/>
      <c r="Q20" s="16">
        <v>1</v>
      </c>
    </row>
    <row r="21" spans="1:18" x14ac:dyDescent="0.25">
      <c r="A21" s="16"/>
      <c r="B21" s="16" t="s">
        <v>26</v>
      </c>
      <c r="C21" s="16" t="s">
        <v>426</v>
      </c>
      <c r="D21" s="16" t="s">
        <v>427</v>
      </c>
      <c r="E21" s="16" t="s">
        <v>428</v>
      </c>
      <c r="F21" s="17">
        <v>7</v>
      </c>
      <c r="G21" s="17">
        <v>770</v>
      </c>
      <c r="H21" s="17">
        <v>30</v>
      </c>
      <c r="I21" s="17">
        <f t="shared" si="0"/>
        <v>740</v>
      </c>
      <c r="J21" s="16" t="s">
        <v>103</v>
      </c>
      <c r="K21" s="16" t="s">
        <v>32</v>
      </c>
      <c r="L21" s="16" t="s">
        <v>381</v>
      </c>
      <c r="M21" s="16"/>
      <c r="N21" s="16"/>
      <c r="O21" s="16"/>
      <c r="P21" s="16"/>
      <c r="Q21" s="16">
        <v>1</v>
      </c>
    </row>
    <row r="22" spans="1:18" x14ac:dyDescent="0.25">
      <c r="A22" s="16"/>
      <c r="B22" s="16" t="s">
        <v>26</v>
      </c>
      <c r="C22" s="16" t="s">
        <v>429</v>
      </c>
      <c r="D22" s="16" t="s">
        <v>430</v>
      </c>
      <c r="E22" s="16" t="s">
        <v>431</v>
      </c>
      <c r="F22" s="17">
        <v>4</v>
      </c>
      <c r="G22" s="17">
        <v>545</v>
      </c>
      <c r="H22" s="17">
        <v>25</v>
      </c>
      <c r="I22" s="17">
        <f t="shared" si="0"/>
        <v>520</v>
      </c>
      <c r="J22" s="16" t="s">
        <v>103</v>
      </c>
      <c r="K22" s="16" t="s">
        <v>32</v>
      </c>
      <c r="L22" s="16" t="s">
        <v>381</v>
      </c>
      <c r="M22" s="16"/>
      <c r="N22" s="16"/>
      <c r="O22" s="16"/>
      <c r="P22" s="16"/>
      <c r="Q22" s="16">
        <v>1</v>
      </c>
    </row>
    <row r="23" spans="1:18" x14ac:dyDescent="0.25">
      <c r="A23" s="16"/>
      <c r="B23" s="16" t="s">
        <v>26</v>
      </c>
      <c r="C23" s="16" t="s">
        <v>432</v>
      </c>
      <c r="D23" s="16" t="s">
        <v>433</v>
      </c>
      <c r="E23" s="16" t="s">
        <v>434</v>
      </c>
      <c r="F23" s="17">
        <v>7</v>
      </c>
      <c r="G23" s="17">
        <v>570</v>
      </c>
      <c r="H23" s="17">
        <v>30</v>
      </c>
      <c r="I23" s="17">
        <f t="shared" si="0"/>
        <v>540</v>
      </c>
      <c r="J23" s="16" t="s">
        <v>103</v>
      </c>
      <c r="K23" s="16" t="s">
        <v>32</v>
      </c>
      <c r="L23" s="16" t="s">
        <v>381</v>
      </c>
      <c r="M23" s="16"/>
      <c r="N23" s="16"/>
      <c r="O23" s="16"/>
      <c r="P23" s="16"/>
      <c r="Q23" s="16">
        <v>1</v>
      </c>
    </row>
    <row r="24" spans="1:18" x14ac:dyDescent="0.25">
      <c r="A24" s="16"/>
      <c r="B24" s="16" t="s">
        <v>26</v>
      </c>
      <c r="C24" s="16" t="s">
        <v>435</v>
      </c>
      <c r="D24" s="16" t="s">
        <v>436</v>
      </c>
      <c r="E24" s="16" t="s">
        <v>437</v>
      </c>
      <c r="F24" s="17">
        <v>1</v>
      </c>
      <c r="G24" s="17">
        <v>545</v>
      </c>
      <c r="H24" s="17">
        <v>25</v>
      </c>
      <c r="I24" s="17">
        <f t="shared" si="0"/>
        <v>520</v>
      </c>
      <c r="J24" s="16" t="s">
        <v>103</v>
      </c>
      <c r="K24" s="16" t="s">
        <v>32</v>
      </c>
      <c r="L24" s="16" t="s">
        <v>381</v>
      </c>
      <c r="M24" s="16"/>
      <c r="N24" s="16"/>
      <c r="O24" s="16"/>
      <c r="P24" s="16"/>
      <c r="Q24" s="16">
        <v>1</v>
      </c>
    </row>
    <row r="25" spans="1:18" x14ac:dyDescent="0.25">
      <c r="A25" s="16"/>
      <c r="B25" s="16" t="s">
        <v>26</v>
      </c>
      <c r="C25" s="16" t="s">
        <v>438</v>
      </c>
      <c r="D25" s="16" t="s">
        <v>439</v>
      </c>
      <c r="E25" s="16" t="s">
        <v>440</v>
      </c>
      <c r="F25" s="17">
        <v>8</v>
      </c>
      <c r="G25" s="17">
        <v>1140</v>
      </c>
      <c r="H25" s="17">
        <v>30</v>
      </c>
      <c r="I25" s="17">
        <f t="shared" si="0"/>
        <v>1110</v>
      </c>
      <c r="J25" s="16" t="s">
        <v>103</v>
      </c>
      <c r="K25" s="16" t="s">
        <v>32</v>
      </c>
      <c r="L25" s="16" t="s">
        <v>381</v>
      </c>
      <c r="M25" s="16"/>
      <c r="N25" s="16"/>
      <c r="O25" s="16"/>
      <c r="P25" s="16"/>
      <c r="Q25" s="16">
        <v>1</v>
      </c>
    </row>
    <row r="26" spans="1:18" x14ac:dyDescent="0.25">
      <c r="A26" s="16"/>
      <c r="B26" s="16" t="s">
        <v>26</v>
      </c>
      <c r="C26" s="16" t="s">
        <v>441</v>
      </c>
      <c r="D26" s="16" t="s">
        <v>442</v>
      </c>
      <c r="E26" s="16" t="s">
        <v>443</v>
      </c>
      <c r="F26" s="17">
        <v>3</v>
      </c>
      <c r="G26" s="17">
        <v>0</v>
      </c>
      <c r="H26" s="17">
        <v>25</v>
      </c>
      <c r="I26" s="17">
        <f t="shared" si="0"/>
        <v>-25</v>
      </c>
      <c r="J26" s="16" t="s">
        <v>103</v>
      </c>
      <c r="K26" s="16" t="s">
        <v>32</v>
      </c>
      <c r="L26" s="16" t="s">
        <v>381</v>
      </c>
      <c r="M26" s="16"/>
      <c r="N26" s="16"/>
      <c r="O26" s="16"/>
      <c r="P26" s="16"/>
      <c r="Q26" s="16">
        <v>1</v>
      </c>
      <c r="R26" s="10">
        <f>H26</f>
        <v>25</v>
      </c>
    </row>
    <row r="27" spans="1:18" x14ac:dyDescent="0.25">
      <c r="A27" s="16"/>
      <c r="B27" s="16" t="s">
        <v>26</v>
      </c>
      <c r="C27" s="16" t="s">
        <v>444</v>
      </c>
      <c r="D27" s="16" t="s">
        <v>445</v>
      </c>
      <c r="E27" s="16" t="s">
        <v>446</v>
      </c>
      <c r="F27" s="17">
        <v>4</v>
      </c>
      <c r="G27" s="17">
        <v>1205</v>
      </c>
      <c r="H27" s="17">
        <v>25</v>
      </c>
      <c r="I27" s="17">
        <f t="shared" si="0"/>
        <v>1180</v>
      </c>
      <c r="J27" s="16" t="s">
        <v>103</v>
      </c>
      <c r="K27" s="16" t="s">
        <v>32</v>
      </c>
      <c r="L27" s="16" t="s">
        <v>381</v>
      </c>
      <c r="M27" s="16"/>
      <c r="N27" s="16"/>
      <c r="O27" s="16"/>
      <c r="P27" s="16"/>
      <c r="Q27" s="16">
        <v>1</v>
      </c>
    </row>
    <row r="28" spans="1:18" x14ac:dyDescent="0.25">
      <c r="A28" s="16"/>
      <c r="B28" s="16" t="s">
        <v>26</v>
      </c>
      <c r="C28" s="16" t="s">
        <v>447</v>
      </c>
      <c r="D28" s="16" t="s">
        <v>448</v>
      </c>
      <c r="E28" s="16" t="s">
        <v>449</v>
      </c>
      <c r="F28" s="17">
        <v>7</v>
      </c>
      <c r="G28" s="17">
        <v>800</v>
      </c>
      <c r="H28" s="17">
        <v>30</v>
      </c>
      <c r="I28" s="17">
        <f t="shared" si="0"/>
        <v>770</v>
      </c>
      <c r="J28" s="16" t="s">
        <v>103</v>
      </c>
      <c r="K28" s="16" t="s">
        <v>32</v>
      </c>
      <c r="L28" s="16" t="s">
        <v>381</v>
      </c>
      <c r="M28" s="16"/>
      <c r="N28" s="16"/>
      <c r="O28" s="16"/>
      <c r="P28" s="16"/>
      <c r="Q28" s="16">
        <v>1</v>
      </c>
    </row>
    <row r="29" spans="1:18" x14ac:dyDescent="0.25">
      <c r="A29" s="16"/>
      <c r="B29" s="16" t="s">
        <v>26</v>
      </c>
      <c r="C29" s="16" t="s">
        <v>450</v>
      </c>
      <c r="D29" s="16" t="s">
        <v>451</v>
      </c>
      <c r="E29" s="16" t="s">
        <v>452</v>
      </c>
      <c r="F29" s="17">
        <v>7</v>
      </c>
      <c r="G29" s="17">
        <v>1780</v>
      </c>
      <c r="H29" s="17">
        <v>30</v>
      </c>
      <c r="I29" s="17">
        <f t="shared" si="0"/>
        <v>1750</v>
      </c>
      <c r="J29" s="16" t="s">
        <v>103</v>
      </c>
      <c r="K29" s="16" t="s">
        <v>32</v>
      </c>
      <c r="L29" s="16" t="s">
        <v>381</v>
      </c>
      <c r="M29" s="16"/>
      <c r="N29" s="16"/>
      <c r="O29" s="16"/>
      <c r="P29" s="16"/>
      <c r="Q29" s="16">
        <v>1</v>
      </c>
    </row>
    <row r="30" spans="1:18" x14ac:dyDescent="0.25">
      <c r="A30" s="16"/>
      <c r="B30" s="16" t="s">
        <v>26</v>
      </c>
      <c r="C30" s="16" t="s">
        <v>453</v>
      </c>
      <c r="D30" s="16" t="s">
        <v>454</v>
      </c>
      <c r="E30" s="16" t="s">
        <v>455</v>
      </c>
      <c r="F30" s="16" t="s">
        <v>243</v>
      </c>
      <c r="G30" s="17">
        <v>1075</v>
      </c>
      <c r="H30" s="17">
        <v>35</v>
      </c>
      <c r="I30" s="17">
        <f t="shared" si="0"/>
        <v>1040</v>
      </c>
      <c r="J30" s="16" t="s">
        <v>103</v>
      </c>
      <c r="K30" s="16" t="s">
        <v>32</v>
      </c>
      <c r="L30" s="16" t="s">
        <v>381</v>
      </c>
      <c r="M30" s="16"/>
      <c r="N30" s="16"/>
      <c r="O30" s="16"/>
      <c r="P30" s="16"/>
      <c r="Q30" s="16">
        <v>1</v>
      </c>
    </row>
    <row r="31" spans="1:18" s="2" customFormat="1" x14ac:dyDescent="0.25">
      <c r="A31" s="23"/>
      <c r="B31" s="23" t="s">
        <v>26</v>
      </c>
      <c r="C31" s="23" t="s">
        <v>263</v>
      </c>
      <c r="D31" s="23" t="s">
        <v>264</v>
      </c>
      <c r="E31" s="23" t="s">
        <v>265</v>
      </c>
      <c r="F31" s="23" t="s">
        <v>243</v>
      </c>
      <c r="G31" s="24">
        <v>825</v>
      </c>
      <c r="H31" s="24">
        <v>35</v>
      </c>
      <c r="I31" s="24">
        <f t="shared" si="0"/>
        <v>790</v>
      </c>
      <c r="J31" s="23" t="s">
        <v>269</v>
      </c>
      <c r="K31" s="23" t="s">
        <v>32</v>
      </c>
      <c r="L31" s="23" t="s">
        <v>170</v>
      </c>
      <c r="M31" s="23" t="s">
        <v>157</v>
      </c>
      <c r="N31" s="23" t="s">
        <v>271</v>
      </c>
      <c r="O31" s="23" t="s">
        <v>271</v>
      </c>
      <c r="P31" s="23" t="s">
        <v>272</v>
      </c>
      <c r="Q31" s="24">
        <v>1</v>
      </c>
    </row>
    <row r="33" spans="1:17" x14ac:dyDescent="0.25">
      <c r="D33" s="1">
        <f>COUNTA(D3:D31)</f>
        <v>27</v>
      </c>
      <c r="G33" s="1">
        <f t="shared" ref="G33:Q33" si="1">SUBTOTAL(9,G3:G31)</f>
        <v>23080</v>
      </c>
      <c r="H33" s="1">
        <f t="shared" si="1"/>
        <v>820</v>
      </c>
      <c r="I33" s="1">
        <f t="shared" si="1"/>
        <v>22260</v>
      </c>
      <c r="J33" s="1">
        <f t="shared" si="1"/>
        <v>0</v>
      </c>
      <c r="K33" s="1">
        <f t="shared" si="1"/>
        <v>0</v>
      </c>
      <c r="L33" s="1">
        <f t="shared" si="1"/>
        <v>0</v>
      </c>
      <c r="M33" s="1">
        <f t="shared" si="1"/>
        <v>0</v>
      </c>
      <c r="N33" s="1">
        <f t="shared" si="1"/>
        <v>0</v>
      </c>
      <c r="O33" s="1">
        <f t="shared" si="1"/>
        <v>0</v>
      </c>
      <c r="P33" s="1">
        <f t="shared" si="1"/>
        <v>0</v>
      </c>
      <c r="Q33" s="1">
        <f t="shared" si="1"/>
        <v>29</v>
      </c>
    </row>
    <row r="34" spans="1:17" x14ac:dyDescent="0.25">
      <c r="H34">
        <f>-6*17</f>
        <v>-102</v>
      </c>
    </row>
    <row r="35" spans="1:17" x14ac:dyDescent="0.25">
      <c r="A35" s="1" t="s">
        <v>26</v>
      </c>
      <c r="C35" s="34" t="s">
        <v>144</v>
      </c>
      <c r="D35" s="34"/>
      <c r="E35" s="4" t="s">
        <v>145</v>
      </c>
      <c r="H35">
        <f>-2*25</f>
        <v>-50</v>
      </c>
      <c r="K35" s="11" t="s">
        <v>380</v>
      </c>
      <c r="L35" s="11" t="s">
        <v>146</v>
      </c>
      <c r="M35" s="11" t="s">
        <v>145</v>
      </c>
      <c r="O35" s="4" t="s">
        <v>147</v>
      </c>
    </row>
    <row r="36" spans="1:17" x14ac:dyDescent="0.25">
      <c r="A36" t="s">
        <v>381</v>
      </c>
      <c r="B36" s="3" t="s">
        <v>148</v>
      </c>
      <c r="C36" s="35">
        <f>SUMIFS(I$3:I$31,B$3:B$31,A$35,L$3:L$31,A$36)</f>
        <v>21470</v>
      </c>
      <c r="D36" s="35"/>
      <c r="E36" s="3">
        <f>SUMIFS(Q$3:Q$31,B$3:B$31,A$35,L$3:L$31,A$36)</f>
        <v>28</v>
      </c>
      <c r="F36" t="s">
        <v>149</v>
      </c>
      <c r="K36" t="s">
        <v>150</v>
      </c>
      <c r="L36">
        <f>SUMIFS(G$3:G$31,J$3:J$31,K$35)</f>
        <v>3400</v>
      </c>
      <c r="M36">
        <f>SUMIFS(Q$3:Q$31,J$3:J$31,K$35)-INT(COUNTIFS(J$3:J$31,K$35,M$3:M$31,"*gộp*")/2)</f>
        <v>8</v>
      </c>
      <c r="O36" t="s">
        <v>456</v>
      </c>
      <c r="P36">
        <f>L41</f>
        <v>3248</v>
      </c>
    </row>
    <row r="37" spans="1:17" x14ac:dyDescent="0.25">
      <c r="B37" s="2" t="s">
        <v>152</v>
      </c>
      <c r="C37" s="36">
        <v>0</v>
      </c>
      <c r="D37" s="36"/>
      <c r="K37" t="s">
        <v>153</v>
      </c>
      <c r="L37">
        <f>SUM(H34:H35)</f>
        <v>-152</v>
      </c>
      <c r="M37">
        <f>SUMIFS(Q$3:Q$31,J$3:J$31,K$35)-INT(COUNTIFS(J$3:J$31,K$35,M$3:M$31,"*gộp*")/2)</f>
        <v>8</v>
      </c>
      <c r="O37" t="s">
        <v>32</v>
      </c>
      <c r="P37">
        <f>L49</f>
        <v>9256</v>
      </c>
    </row>
    <row r="38" spans="1:17" x14ac:dyDescent="0.25">
      <c r="B38" s="2" t="s">
        <v>154</v>
      </c>
      <c r="C38" s="36">
        <f>-SUMIFS(I$3:I$31,B$3:B$31,A$35,P$3:P$31,"xx",N$3:N$31,"x")</f>
        <v>-790</v>
      </c>
      <c r="D38" s="36"/>
      <c r="E38" s="2">
        <f>SUMIFS(Q$3:Q$31,B$3:B$31,A$35,P$3:P$31,"xx",N$3:N$31,"x")</f>
        <v>1</v>
      </c>
      <c r="K38" t="s">
        <v>155</v>
      </c>
      <c r="O38" t="s">
        <v>103</v>
      </c>
      <c r="P38">
        <f>L57</f>
        <v>8295</v>
      </c>
    </row>
    <row r="39" spans="1:17" x14ac:dyDescent="0.25">
      <c r="B39" s="4" t="s">
        <v>156</v>
      </c>
      <c r="C39" s="34">
        <f>SUBTOTAL(9,C36:C38)</f>
        <v>20680</v>
      </c>
      <c r="D39" s="34"/>
      <c r="E39">
        <f>E36</f>
        <v>28</v>
      </c>
      <c r="K39" s="12" t="s">
        <v>157</v>
      </c>
      <c r="O39" t="s">
        <v>158</v>
      </c>
      <c r="P39">
        <f>-C43</f>
        <v>-20680</v>
      </c>
    </row>
    <row r="40" spans="1:17" x14ac:dyDescent="0.25">
      <c r="B40" s="2" t="s">
        <v>159</v>
      </c>
      <c r="C40" s="32"/>
      <c r="D40" s="32"/>
      <c r="K40" s="2" t="s">
        <v>160</v>
      </c>
      <c r="O40" s="4" t="s">
        <v>161</v>
      </c>
      <c r="P40" s="4">
        <f>SUBTOTAL(9,P36:P39)</f>
        <v>119</v>
      </c>
    </row>
    <row r="41" spans="1:17" x14ac:dyDescent="0.25">
      <c r="B41" s="13" t="s">
        <v>162</v>
      </c>
      <c r="C41" s="32"/>
      <c r="D41" s="32"/>
      <c r="L41" s="14">
        <f>SUBTOTAL(9,L36:L40)</f>
        <v>3248</v>
      </c>
      <c r="M41" s="14">
        <f>M36</f>
        <v>8</v>
      </c>
    </row>
    <row r="43" spans="1:17" x14ac:dyDescent="0.25">
      <c r="B43" s="1" t="s">
        <v>163</v>
      </c>
      <c r="C43" s="33">
        <f>C39+C40+C41</f>
        <v>20680</v>
      </c>
      <c r="D43" s="33"/>
      <c r="E43" s="1" t="s">
        <v>164</v>
      </c>
      <c r="K43" s="11" t="s">
        <v>32</v>
      </c>
      <c r="L43" s="11" t="s">
        <v>146</v>
      </c>
      <c r="M43" s="11" t="s">
        <v>145</v>
      </c>
    </row>
    <row r="44" spans="1:17" x14ac:dyDescent="0.25">
      <c r="K44" t="s">
        <v>150</v>
      </c>
      <c r="L44">
        <f>SUMIFS(G$3:G$31,J$3:J$31,K$43)</f>
        <v>9510</v>
      </c>
      <c r="M44">
        <f>SUMIFS(Q$3:Q$31,J$3:J$31,K$43)-INT(COUNTIFS(J$3:J$31,K$43,M$3:M$31,"*gộp*")/2)</f>
        <v>9</v>
      </c>
    </row>
    <row r="45" spans="1:17" x14ac:dyDescent="0.25">
      <c r="K45" t="s">
        <v>153</v>
      </c>
      <c r="L45">
        <f>-SUMIFS(H$3:H$31,J$3:J$31,K$43)+M45*5</f>
        <v>-200</v>
      </c>
      <c r="M45">
        <f>SUMIFS(Q$3:Q$31,J$3:J$31,K$43)-INT(COUNTIFS(J$3:J$31,K$43,M$3:M$31,"*gộp*")/2)</f>
        <v>9</v>
      </c>
    </row>
    <row r="46" spans="1:17" x14ac:dyDescent="0.25">
      <c r="K46" t="s">
        <v>155</v>
      </c>
      <c r="L46">
        <f>-M46*2</f>
        <v>-54</v>
      </c>
      <c r="M46">
        <f>E39-(COUNTIFS(M$3:M$31,"*gộp*")/2)-COUNTIFS(M$3:M$31,"*đơn trả*")-COUNTIFS(M$3:M$31,"*hàng tỉnh*")</f>
        <v>27</v>
      </c>
    </row>
    <row r="47" spans="1:17" x14ac:dyDescent="0.25">
      <c r="K47" s="12" t="s">
        <v>157</v>
      </c>
    </row>
    <row r="48" spans="1:17" x14ac:dyDescent="0.25">
      <c r="K48" s="2" t="s">
        <v>160</v>
      </c>
    </row>
    <row r="49" spans="11:13" x14ac:dyDescent="0.25">
      <c r="L49" s="14">
        <f>SUBTOTAL(9,L44:L48)</f>
        <v>9256</v>
      </c>
      <c r="M49" s="14">
        <f>M44</f>
        <v>9</v>
      </c>
    </row>
    <row r="51" spans="11:13" x14ac:dyDescent="0.25">
      <c r="K51" s="11" t="s">
        <v>103</v>
      </c>
      <c r="L51" s="11" t="s">
        <v>146</v>
      </c>
      <c r="M51" s="11" t="s">
        <v>145</v>
      </c>
    </row>
    <row r="52" spans="11:13" x14ac:dyDescent="0.25">
      <c r="K52" t="s">
        <v>150</v>
      </c>
      <c r="L52">
        <f>SUMIFS(G$3:G$31,J$3:J$31,K$51)</f>
        <v>9345</v>
      </c>
      <c r="M52">
        <f>SUMIFS(Q$3:Q$31,J$3:J$31,K$51)-INT(COUNTIFS(J$3:J$31,K$51,M$3:M$31,"*gộp*")/2)</f>
        <v>11</v>
      </c>
    </row>
    <row r="53" spans="11:13" x14ac:dyDescent="0.25">
      <c r="K53" t="s">
        <v>153</v>
      </c>
      <c r="L53">
        <f>-SUMIFS(H$3:H$31,J$3:J$31,K$51)+M53*5</f>
        <v>-255</v>
      </c>
      <c r="M53">
        <f>SUMIFS(Q$3:Q$31,J$3:J$31,K$51)-INT(COUNTIFS(J$3:J$31,K$51,M$3:M$31,"*gộp*")/2)</f>
        <v>11</v>
      </c>
    </row>
    <row r="54" spans="11:13" x14ac:dyDescent="0.25">
      <c r="K54" t="s">
        <v>155</v>
      </c>
    </row>
    <row r="55" spans="11:13" x14ac:dyDescent="0.25">
      <c r="K55" s="12" t="s">
        <v>157</v>
      </c>
      <c r="L55" s="12">
        <v>-795</v>
      </c>
      <c r="M55" s="12" t="s">
        <v>274</v>
      </c>
    </row>
    <row r="56" spans="11:13" x14ac:dyDescent="0.25">
      <c r="K56" s="2" t="s">
        <v>160</v>
      </c>
    </row>
    <row r="57" spans="11:13" x14ac:dyDescent="0.25">
      <c r="L57" s="14">
        <f>SUBTOTAL(9,L52:L56)</f>
        <v>8295</v>
      </c>
      <c r="M57" s="14">
        <f>M52</f>
        <v>11</v>
      </c>
    </row>
  </sheetData>
  <autoFilter ref="A2:P31" xr:uid="{00000000-0009-0000-0000-000004000000}">
    <sortState xmlns:xlrd2="http://schemas.microsoft.com/office/spreadsheetml/2017/richdata2" ref="A3:P31">
      <sortCondition ref="J2:J31"/>
    </sortState>
  </autoFilter>
  <mergeCells count="8">
    <mergeCell ref="C40:D40"/>
    <mergeCell ref="C41:D41"/>
    <mergeCell ref="C43:D43"/>
    <mergeCell ref="C35:D35"/>
    <mergeCell ref="C36:D36"/>
    <mergeCell ref="C37:D37"/>
    <mergeCell ref="C38:D38"/>
    <mergeCell ref="C39:D39"/>
  </mergeCells>
  <pageMargins left="0.75" right="0.75" top="0.75" bottom="0.5" header="0.5" footer="0.7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R94"/>
  <sheetViews>
    <sheetView topLeftCell="A53" workbookViewId="0"/>
  </sheetViews>
  <sheetFormatPr defaultRowHeight="15" x14ac:dyDescent="0.25"/>
  <cols>
    <col min="1" max="1" width="12.7109375" customWidth="1"/>
    <col min="2" max="2" width="17.7109375" customWidth="1"/>
    <col min="3" max="3" width="25.140625" customWidth="1"/>
    <col min="4" max="4" width="9.85546875" customWidth="1"/>
    <col min="5" max="5" width="71.28515625" customWidth="1"/>
    <col min="6" max="6" width="10.71093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0.42578125" customWidth="1"/>
    <col min="13" max="13" width="13.85546875" customWidth="1"/>
    <col min="14" max="14" width="9.7109375" customWidth="1"/>
    <col min="15" max="15" width="10.42578125" customWidth="1"/>
    <col min="16" max="16" width="7" bestFit="1" customWidth="1"/>
  </cols>
  <sheetData>
    <row r="2" spans="1:18" x14ac:dyDescent="0.25">
      <c r="A2" s="15" t="s">
        <v>10</v>
      </c>
      <c r="B2" s="15" t="s">
        <v>11</v>
      </c>
      <c r="C2" s="15" t="s">
        <v>12</v>
      </c>
      <c r="D2" s="15" t="s">
        <v>13</v>
      </c>
      <c r="E2" s="15" t="s">
        <v>14</v>
      </c>
      <c r="F2" s="15" t="s">
        <v>15</v>
      </c>
      <c r="G2" s="15" t="s">
        <v>16</v>
      </c>
      <c r="H2" s="15" t="s">
        <v>17</v>
      </c>
      <c r="I2" s="15" t="s">
        <v>18</v>
      </c>
      <c r="J2" s="15" t="s">
        <v>19</v>
      </c>
      <c r="K2" s="15" t="s">
        <v>20</v>
      </c>
      <c r="L2" s="15" t="s">
        <v>21</v>
      </c>
      <c r="M2" s="15" t="s">
        <v>22</v>
      </c>
      <c r="N2" s="15" t="s">
        <v>23</v>
      </c>
      <c r="O2" s="15" t="s">
        <v>24</v>
      </c>
      <c r="P2" s="15" t="s">
        <v>25</v>
      </c>
      <c r="Q2" s="16"/>
    </row>
    <row r="3" spans="1:18" x14ac:dyDescent="0.25">
      <c r="A3" s="16"/>
      <c r="B3" s="16" t="s">
        <v>26</v>
      </c>
      <c r="C3" s="16" t="s">
        <v>457</v>
      </c>
      <c r="D3" s="16" t="s">
        <v>458</v>
      </c>
      <c r="E3" s="16" t="s">
        <v>459</v>
      </c>
      <c r="F3" s="17">
        <v>9</v>
      </c>
      <c r="G3" s="17">
        <v>520</v>
      </c>
      <c r="H3" s="17">
        <v>30</v>
      </c>
      <c r="I3" s="17">
        <f t="shared" ref="I3:I34" si="0">G3-H3</f>
        <v>490</v>
      </c>
      <c r="J3" s="16" t="s">
        <v>460</v>
      </c>
      <c r="K3" s="16" t="s">
        <v>32</v>
      </c>
      <c r="L3" s="16" t="s">
        <v>461</v>
      </c>
      <c r="M3" s="16"/>
      <c r="N3" s="16"/>
      <c r="O3" s="16"/>
      <c r="P3" s="16"/>
      <c r="Q3" s="16">
        <v>1</v>
      </c>
    </row>
    <row r="4" spans="1:18" x14ac:dyDescent="0.25">
      <c r="A4" s="16"/>
      <c r="B4" s="16" t="s">
        <v>26</v>
      </c>
      <c r="C4" s="16" t="s">
        <v>462</v>
      </c>
      <c r="D4" s="16" t="s">
        <v>463</v>
      </c>
      <c r="E4" s="16" t="s">
        <v>464</v>
      </c>
      <c r="F4" s="17">
        <v>9</v>
      </c>
      <c r="G4" s="17">
        <v>550</v>
      </c>
      <c r="H4" s="17">
        <v>30</v>
      </c>
      <c r="I4" s="17">
        <f t="shared" si="0"/>
        <v>520</v>
      </c>
      <c r="J4" s="16" t="s">
        <v>460</v>
      </c>
      <c r="K4" s="16" t="s">
        <v>32</v>
      </c>
      <c r="L4" s="16" t="s">
        <v>461</v>
      </c>
      <c r="M4" s="16"/>
      <c r="N4" s="16"/>
      <c r="O4" s="16"/>
      <c r="P4" s="16"/>
      <c r="Q4" s="16">
        <v>1</v>
      </c>
    </row>
    <row r="5" spans="1:18" x14ac:dyDescent="0.25">
      <c r="A5" s="16" t="s">
        <v>141</v>
      </c>
      <c r="B5" s="16" t="s">
        <v>26</v>
      </c>
      <c r="C5" s="16" t="s">
        <v>465</v>
      </c>
      <c r="D5" s="16"/>
      <c r="E5" s="16" t="s">
        <v>466</v>
      </c>
      <c r="F5" s="17">
        <v>9</v>
      </c>
      <c r="G5" s="17">
        <v>35</v>
      </c>
      <c r="H5" s="17">
        <v>35</v>
      </c>
      <c r="I5" s="17">
        <f t="shared" si="0"/>
        <v>0</v>
      </c>
      <c r="J5" s="16" t="s">
        <v>460</v>
      </c>
      <c r="K5" s="16" t="s">
        <v>32</v>
      </c>
      <c r="L5" s="16" t="s">
        <v>461</v>
      </c>
      <c r="M5" s="16"/>
      <c r="N5" s="16"/>
      <c r="O5" s="16"/>
      <c r="P5" s="16"/>
      <c r="Q5" s="16">
        <v>1</v>
      </c>
    </row>
    <row r="6" spans="1:18" x14ac:dyDescent="0.25">
      <c r="A6" s="16" t="s">
        <v>141</v>
      </c>
      <c r="B6" s="16" t="s">
        <v>26</v>
      </c>
      <c r="C6" s="16" t="s">
        <v>467</v>
      </c>
      <c r="D6" s="16"/>
      <c r="E6" s="16" t="s">
        <v>468</v>
      </c>
      <c r="F6" s="17">
        <v>9</v>
      </c>
      <c r="G6" s="17">
        <v>845</v>
      </c>
      <c r="H6" s="17">
        <v>35</v>
      </c>
      <c r="I6" s="17">
        <f t="shared" si="0"/>
        <v>810</v>
      </c>
      <c r="J6" s="16" t="s">
        <v>460</v>
      </c>
      <c r="K6" s="16" t="s">
        <v>32</v>
      </c>
      <c r="L6" s="16" t="s">
        <v>461</v>
      </c>
      <c r="M6" s="16"/>
      <c r="N6" s="16"/>
      <c r="O6" s="16"/>
      <c r="P6" s="16"/>
      <c r="Q6" s="16">
        <v>1</v>
      </c>
    </row>
    <row r="7" spans="1:18" x14ac:dyDescent="0.25">
      <c r="A7" s="16"/>
      <c r="B7" s="16" t="s">
        <v>26</v>
      </c>
      <c r="C7" s="16" t="s">
        <v>469</v>
      </c>
      <c r="D7" s="16" t="s">
        <v>470</v>
      </c>
      <c r="E7" s="16" t="s">
        <v>471</v>
      </c>
      <c r="F7" s="16" t="s">
        <v>30</v>
      </c>
      <c r="G7" s="17">
        <v>25</v>
      </c>
      <c r="H7" s="17">
        <v>25</v>
      </c>
      <c r="I7" s="17">
        <f t="shared" si="0"/>
        <v>0</v>
      </c>
      <c r="J7" s="16" t="s">
        <v>472</v>
      </c>
      <c r="K7" s="16" t="s">
        <v>32</v>
      </c>
      <c r="L7" s="16" t="s">
        <v>461</v>
      </c>
      <c r="M7" s="16"/>
      <c r="N7" s="16"/>
      <c r="O7" s="16"/>
      <c r="P7" s="16"/>
      <c r="Q7" s="16">
        <v>1</v>
      </c>
    </row>
    <row r="8" spans="1:18" x14ac:dyDescent="0.25">
      <c r="A8" s="16"/>
      <c r="B8" s="16" t="s">
        <v>26</v>
      </c>
      <c r="C8" s="16" t="s">
        <v>473</v>
      </c>
      <c r="D8" s="16" t="s">
        <v>474</v>
      </c>
      <c r="E8" s="16" t="s">
        <v>475</v>
      </c>
      <c r="F8" s="16" t="s">
        <v>168</v>
      </c>
      <c r="G8" s="17">
        <v>915</v>
      </c>
      <c r="H8" s="17">
        <v>35</v>
      </c>
      <c r="I8" s="17">
        <f t="shared" si="0"/>
        <v>880</v>
      </c>
      <c r="J8" s="16" t="s">
        <v>472</v>
      </c>
      <c r="K8" s="16" t="s">
        <v>32</v>
      </c>
      <c r="L8" s="16" t="s">
        <v>461</v>
      </c>
      <c r="M8" s="16"/>
      <c r="N8" s="16"/>
      <c r="O8" s="16"/>
      <c r="P8" s="16"/>
      <c r="Q8" s="16">
        <v>1</v>
      </c>
    </row>
    <row r="9" spans="1:18" x14ac:dyDescent="0.25">
      <c r="A9" s="16"/>
      <c r="B9" s="16" t="s">
        <v>26</v>
      </c>
      <c r="C9" s="16" t="s">
        <v>476</v>
      </c>
      <c r="D9" s="16" t="s">
        <v>477</v>
      </c>
      <c r="E9" s="16" t="s">
        <v>478</v>
      </c>
      <c r="F9" s="17">
        <v>11</v>
      </c>
      <c r="G9" s="17">
        <v>595</v>
      </c>
      <c r="H9" s="17">
        <v>25</v>
      </c>
      <c r="I9" s="17">
        <f t="shared" si="0"/>
        <v>570</v>
      </c>
      <c r="J9" s="16" t="s">
        <v>472</v>
      </c>
      <c r="K9" s="16" t="s">
        <v>32</v>
      </c>
      <c r="L9" s="16" t="s">
        <v>461</v>
      </c>
      <c r="M9" s="16"/>
      <c r="N9" s="16"/>
      <c r="O9" s="16"/>
      <c r="P9" s="16"/>
      <c r="Q9" s="16">
        <v>1</v>
      </c>
    </row>
    <row r="10" spans="1:18" x14ac:dyDescent="0.25">
      <c r="A10" s="16"/>
      <c r="B10" s="16" t="s">
        <v>26</v>
      </c>
      <c r="C10" s="16" t="s">
        <v>479</v>
      </c>
      <c r="D10" s="16" t="s">
        <v>480</v>
      </c>
      <c r="E10" s="16" t="s">
        <v>481</v>
      </c>
      <c r="F10" s="16" t="s">
        <v>93</v>
      </c>
      <c r="G10" s="17">
        <v>2950</v>
      </c>
      <c r="H10" s="17">
        <v>30</v>
      </c>
      <c r="I10" s="17">
        <f t="shared" si="0"/>
        <v>2920</v>
      </c>
      <c r="J10" s="16" t="s">
        <v>472</v>
      </c>
      <c r="K10" s="16" t="s">
        <v>32</v>
      </c>
      <c r="L10" s="16" t="s">
        <v>461</v>
      </c>
      <c r="M10" s="18" t="s">
        <v>55</v>
      </c>
      <c r="N10" s="16"/>
      <c r="O10" s="16"/>
      <c r="P10" s="16"/>
      <c r="Q10" s="16">
        <v>1</v>
      </c>
      <c r="R10" s="10">
        <f>H10</f>
        <v>30</v>
      </c>
    </row>
    <row r="11" spans="1:18" x14ac:dyDescent="0.25">
      <c r="A11" s="16"/>
      <c r="B11" s="16" t="s">
        <v>26</v>
      </c>
      <c r="C11" s="16" t="s">
        <v>482</v>
      </c>
      <c r="D11" s="16" t="s">
        <v>483</v>
      </c>
      <c r="E11" s="16" t="s">
        <v>484</v>
      </c>
      <c r="F11" s="16" t="s">
        <v>51</v>
      </c>
      <c r="G11" s="17">
        <v>970</v>
      </c>
      <c r="H11" s="17">
        <v>30</v>
      </c>
      <c r="I11" s="17">
        <f t="shared" si="0"/>
        <v>940</v>
      </c>
      <c r="J11" s="16" t="s">
        <v>472</v>
      </c>
      <c r="K11" s="16" t="s">
        <v>32</v>
      </c>
      <c r="L11" s="16" t="s">
        <v>461</v>
      </c>
      <c r="M11" s="16"/>
      <c r="N11" s="16"/>
      <c r="O11" s="16"/>
      <c r="P11" s="16"/>
      <c r="Q11" s="16">
        <v>1</v>
      </c>
    </row>
    <row r="12" spans="1:18" x14ac:dyDescent="0.25">
      <c r="A12" s="16"/>
      <c r="B12" s="16" t="s">
        <v>26</v>
      </c>
      <c r="C12" s="16" t="s">
        <v>485</v>
      </c>
      <c r="D12" s="16" t="s">
        <v>486</v>
      </c>
      <c r="E12" s="16" t="s">
        <v>487</v>
      </c>
      <c r="F12" s="17">
        <v>8</v>
      </c>
      <c r="G12" s="17">
        <v>570</v>
      </c>
      <c r="H12" s="17">
        <v>30</v>
      </c>
      <c r="I12" s="17">
        <f t="shared" si="0"/>
        <v>540</v>
      </c>
      <c r="J12" s="16" t="s">
        <v>472</v>
      </c>
      <c r="K12" s="16" t="s">
        <v>32</v>
      </c>
      <c r="L12" s="16" t="s">
        <v>461</v>
      </c>
      <c r="M12" s="16"/>
      <c r="N12" s="16"/>
      <c r="O12" s="16"/>
      <c r="P12" s="16"/>
      <c r="Q12" s="16">
        <v>1</v>
      </c>
    </row>
    <row r="13" spans="1:18" x14ac:dyDescent="0.25">
      <c r="A13" s="16"/>
      <c r="B13" s="16" t="s">
        <v>26</v>
      </c>
      <c r="C13" s="16" t="s">
        <v>488</v>
      </c>
      <c r="D13" s="16" t="s">
        <v>489</v>
      </c>
      <c r="E13" s="16" t="s">
        <v>490</v>
      </c>
      <c r="F13" s="16" t="s">
        <v>30</v>
      </c>
      <c r="G13" s="17">
        <v>0</v>
      </c>
      <c r="H13" s="17">
        <v>25</v>
      </c>
      <c r="I13" s="17">
        <f t="shared" si="0"/>
        <v>-25</v>
      </c>
      <c r="J13" s="16" t="s">
        <v>472</v>
      </c>
      <c r="K13" s="16" t="s">
        <v>32</v>
      </c>
      <c r="L13" s="16" t="s">
        <v>461</v>
      </c>
      <c r="M13" s="16"/>
      <c r="N13" s="16"/>
      <c r="O13" s="16"/>
      <c r="P13" s="16"/>
      <c r="Q13" s="16">
        <v>1</v>
      </c>
      <c r="R13" s="10">
        <f>H13</f>
        <v>25</v>
      </c>
    </row>
    <row r="14" spans="1:18" x14ac:dyDescent="0.25">
      <c r="A14" s="16"/>
      <c r="B14" s="16" t="s">
        <v>26</v>
      </c>
      <c r="C14" s="16" t="s">
        <v>491</v>
      </c>
      <c r="D14" s="16" t="s">
        <v>492</v>
      </c>
      <c r="E14" s="16" t="s">
        <v>493</v>
      </c>
      <c r="F14" s="16" t="s">
        <v>30</v>
      </c>
      <c r="G14" s="17">
        <v>815</v>
      </c>
      <c r="H14" s="17">
        <v>25</v>
      </c>
      <c r="I14" s="17">
        <f t="shared" si="0"/>
        <v>790</v>
      </c>
      <c r="J14" s="16" t="s">
        <v>472</v>
      </c>
      <c r="K14" s="16" t="s">
        <v>32</v>
      </c>
      <c r="L14" s="16" t="s">
        <v>461</v>
      </c>
      <c r="M14" s="16"/>
      <c r="N14" s="16"/>
      <c r="O14" s="16"/>
      <c r="P14" s="16"/>
      <c r="Q14" s="16">
        <v>1</v>
      </c>
    </row>
    <row r="15" spans="1:18" s="2" customFormat="1" x14ac:dyDescent="0.25">
      <c r="A15" s="16"/>
      <c r="B15" s="16" t="s">
        <v>26</v>
      </c>
      <c r="C15" s="16" t="s">
        <v>494</v>
      </c>
      <c r="D15" s="16" t="s">
        <v>495</v>
      </c>
      <c r="E15" s="16" t="s">
        <v>496</v>
      </c>
      <c r="F15" s="17">
        <v>5</v>
      </c>
      <c r="G15" s="17">
        <v>965</v>
      </c>
      <c r="H15" s="17">
        <v>25</v>
      </c>
      <c r="I15" s="17">
        <f t="shared" si="0"/>
        <v>940</v>
      </c>
      <c r="J15" s="16" t="s">
        <v>472</v>
      </c>
      <c r="K15" s="16" t="s">
        <v>32</v>
      </c>
      <c r="L15" s="16" t="s">
        <v>461</v>
      </c>
      <c r="M15" s="16"/>
      <c r="N15" s="16"/>
      <c r="O15" s="16"/>
      <c r="P15" s="16"/>
      <c r="Q15" s="23">
        <v>1</v>
      </c>
    </row>
    <row r="16" spans="1:18" x14ac:dyDescent="0.25">
      <c r="A16" s="16"/>
      <c r="B16" s="16" t="s">
        <v>26</v>
      </c>
      <c r="C16" s="16" t="s">
        <v>497</v>
      </c>
      <c r="D16" s="16" t="s">
        <v>498</v>
      </c>
      <c r="E16" s="16" t="s">
        <v>499</v>
      </c>
      <c r="F16" s="16" t="s">
        <v>51</v>
      </c>
      <c r="G16" s="17">
        <v>0</v>
      </c>
      <c r="H16" s="17">
        <v>30</v>
      </c>
      <c r="I16" s="17">
        <f t="shared" si="0"/>
        <v>-30</v>
      </c>
      <c r="J16" s="16" t="s">
        <v>472</v>
      </c>
      <c r="K16" s="16" t="s">
        <v>32</v>
      </c>
      <c r="L16" s="16" t="s">
        <v>461</v>
      </c>
      <c r="M16" s="18" t="s">
        <v>288</v>
      </c>
      <c r="N16" s="16"/>
      <c r="O16" s="16"/>
      <c r="P16" s="16"/>
      <c r="Q16" s="16">
        <v>1</v>
      </c>
      <c r="R16" s="10">
        <f>H16</f>
        <v>30</v>
      </c>
    </row>
    <row r="17" spans="1:18" x14ac:dyDescent="0.25">
      <c r="A17" s="16"/>
      <c r="B17" s="16" t="s">
        <v>26</v>
      </c>
      <c r="C17" s="16" t="s">
        <v>497</v>
      </c>
      <c r="D17" s="16" t="s">
        <v>500</v>
      </c>
      <c r="E17" s="16" t="s">
        <v>499</v>
      </c>
      <c r="F17" s="16" t="s">
        <v>51</v>
      </c>
      <c r="G17" s="17">
        <v>0</v>
      </c>
      <c r="H17" s="17">
        <v>0</v>
      </c>
      <c r="I17" s="17">
        <f t="shared" si="0"/>
        <v>0</v>
      </c>
      <c r="J17" s="16" t="s">
        <v>472</v>
      </c>
      <c r="K17" s="16" t="s">
        <v>32</v>
      </c>
      <c r="L17" s="16" t="s">
        <v>461</v>
      </c>
      <c r="M17" s="18" t="s">
        <v>288</v>
      </c>
      <c r="N17" s="16"/>
      <c r="O17" s="16"/>
      <c r="P17" s="16"/>
      <c r="Q17" s="16">
        <v>1</v>
      </c>
      <c r="R17" s="10">
        <f>H17</f>
        <v>0</v>
      </c>
    </row>
    <row r="18" spans="1:18" x14ac:dyDescent="0.25">
      <c r="A18" s="16" t="s">
        <v>141</v>
      </c>
      <c r="B18" s="16" t="s">
        <v>26</v>
      </c>
      <c r="C18" s="16" t="s">
        <v>501</v>
      </c>
      <c r="D18" s="16"/>
      <c r="E18" s="16" t="s">
        <v>502</v>
      </c>
      <c r="F18" s="17">
        <v>6</v>
      </c>
      <c r="G18" s="17">
        <v>0</v>
      </c>
      <c r="H18" s="17">
        <v>30</v>
      </c>
      <c r="I18" s="17">
        <f t="shared" si="0"/>
        <v>-30</v>
      </c>
      <c r="J18" s="16" t="s">
        <v>472</v>
      </c>
      <c r="K18" s="16" t="s">
        <v>32</v>
      </c>
      <c r="L18" s="16" t="s">
        <v>461</v>
      </c>
      <c r="M18" s="16"/>
      <c r="N18" s="16"/>
      <c r="O18" s="16"/>
      <c r="P18" s="16"/>
      <c r="Q18" s="16">
        <v>1</v>
      </c>
      <c r="R18" s="10">
        <f>H18</f>
        <v>30</v>
      </c>
    </row>
    <row r="19" spans="1:18" x14ac:dyDescent="0.25">
      <c r="A19" s="16"/>
      <c r="B19" s="16" t="s">
        <v>26</v>
      </c>
      <c r="C19" s="16" t="s">
        <v>503</v>
      </c>
      <c r="D19" s="16" t="s">
        <v>504</v>
      </c>
      <c r="E19" s="16" t="s">
        <v>505</v>
      </c>
      <c r="F19" s="17">
        <v>2</v>
      </c>
      <c r="G19" s="17">
        <v>940</v>
      </c>
      <c r="H19" s="17">
        <v>30</v>
      </c>
      <c r="I19" s="17">
        <f t="shared" si="0"/>
        <v>910</v>
      </c>
      <c r="J19" s="16" t="s">
        <v>32</v>
      </c>
      <c r="K19" s="16" t="s">
        <v>32</v>
      </c>
      <c r="L19" s="16" t="s">
        <v>461</v>
      </c>
      <c r="M19" s="16"/>
      <c r="N19" s="16"/>
      <c r="O19" s="16"/>
      <c r="P19" s="16"/>
      <c r="Q19" s="16">
        <v>1</v>
      </c>
    </row>
    <row r="20" spans="1:18" x14ac:dyDescent="0.25">
      <c r="A20" s="16"/>
      <c r="B20" s="16" t="s">
        <v>26</v>
      </c>
      <c r="C20" s="16" t="s">
        <v>506</v>
      </c>
      <c r="D20" s="16" t="s">
        <v>507</v>
      </c>
      <c r="E20" s="16" t="s">
        <v>508</v>
      </c>
      <c r="F20" s="17">
        <v>12</v>
      </c>
      <c r="G20" s="17">
        <v>1000</v>
      </c>
      <c r="H20" s="17">
        <v>30</v>
      </c>
      <c r="I20" s="17">
        <f t="shared" si="0"/>
        <v>970</v>
      </c>
      <c r="J20" s="16" t="s">
        <v>32</v>
      </c>
      <c r="K20" s="16" t="s">
        <v>32</v>
      </c>
      <c r="L20" s="16" t="s">
        <v>461</v>
      </c>
      <c r="M20" s="16"/>
      <c r="N20" s="16"/>
      <c r="O20" s="16"/>
      <c r="P20" s="16"/>
      <c r="Q20" s="16">
        <v>1</v>
      </c>
    </row>
    <row r="21" spans="1:18" x14ac:dyDescent="0.25">
      <c r="A21" s="16"/>
      <c r="B21" s="16" t="s">
        <v>26</v>
      </c>
      <c r="C21" s="16" t="s">
        <v>509</v>
      </c>
      <c r="D21" s="16" t="s">
        <v>510</v>
      </c>
      <c r="E21" s="16" t="s">
        <v>511</v>
      </c>
      <c r="F21" s="16" t="s">
        <v>75</v>
      </c>
      <c r="G21" s="17">
        <v>0</v>
      </c>
      <c r="H21" s="17">
        <v>20</v>
      </c>
      <c r="I21" s="17">
        <f t="shared" si="0"/>
        <v>-20</v>
      </c>
      <c r="J21" s="16" t="s">
        <v>32</v>
      </c>
      <c r="K21" s="16" t="s">
        <v>32</v>
      </c>
      <c r="L21" s="16" t="s">
        <v>461</v>
      </c>
      <c r="M21" s="16"/>
      <c r="N21" s="16"/>
      <c r="O21" s="16"/>
      <c r="P21" s="16"/>
      <c r="Q21" s="16">
        <v>1</v>
      </c>
      <c r="R21" s="10">
        <f>H21</f>
        <v>20</v>
      </c>
    </row>
    <row r="22" spans="1:18" x14ac:dyDescent="0.25">
      <c r="A22" s="16"/>
      <c r="B22" s="16" t="s">
        <v>26</v>
      </c>
      <c r="C22" s="16" t="s">
        <v>512</v>
      </c>
      <c r="D22" s="16" t="s">
        <v>513</v>
      </c>
      <c r="E22" s="16" t="s">
        <v>514</v>
      </c>
      <c r="F22" s="17">
        <v>2</v>
      </c>
      <c r="G22" s="17">
        <v>880</v>
      </c>
      <c r="H22" s="17">
        <v>30</v>
      </c>
      <c r="I22" s="17">
        <f t="shared" si="0"/>
        <v>850</v>
      </c>
      <c r="J22" s="16" t="s">
        <v>32</v>
      </c>
      <c r="K22" s="16" t="s">
        <v>32</v>
      </c>
      <c r="L22" s="16" t="s">
        <v>461</v>
      </c>
      <c r="M22" s="16"/>
      <c r="N22" s="16"/>
      <c r="O22" s="16"/>
      <c r="P22" s="16"/>
      <c r="Q22" s="16">
        <v>1</v>
      </c>
    </row>
    <row r="23" spans="1:18" x14ac:dyDescent="0.25">
      <c r="A23" s="16"/>
      <c r="B23" s="16" t="s">
        <v>26</v>
      </c>
      <c r="C23" s="16" t="s">
        <v>515</v>
      </c>
      <c r="D23" s="16" t="s">
        <v>516</v>
      </c>
      <c r="E23" s="16" t="s">
        <v>517</v>
      </c>
      <c r="F23" s="16" t="s">
        <v>82</v>
      </c>
      <c r="G23" s="17">
        <v>845</v>
      </c>
      <c r="H23" s="17">
        <v>25</v>
      </c>
      <c r="I23" s="17">
        <f t="shared" si="0"/>
        <v>820</v>
      </c>
      <c r="J23" s="16" t="s">
        <v>32</v>
      </c>
      <c r="K23" s="16" t="s">
        <v>32</v>
      </c>
      <c r="L23" s="16" t="s">
        <v>461</v>
      </c>
      <c r="M23" s="16"/>
      <c r="N23" s="16"/>
      <c r="O23" s="16"/>
      <c r="P23" s="16"/>
      <c r="Q23" s="16">
        <v>1</v>
      </c>
    </row>
    <row r="24" spans="1:18" x14ac:dyDescent="0.25">
      <c r="A24" s="16"/>
      <c r="B24" s="16" t="s">
        <v>26</v>
      </c>
      <c r="C24" s="16" t="s">
        <v>518</v>
      </c>
      <c r="D24" s="16" t="s">
        <v>519</v>
      </c>
      <c r="E24" s="16" t="s">
        <v>520</v>
      </c>
      <c r="F24" s="16" t="s">
        <v>82</v>
      </c>
      <c r="G24" s="17">
        <v>595</v>
      </c>
      <c r="H24" s="17">
        <v>25</v>
      </c>
      <c r="I24" s="17">
        <f t="shared" si="0"/>
        <v>570</v>
      </c>
      <c r="J24" s="16" t="s">
        <v>32</v>
      </c>
      <c r="K24" s="16" t="s">
        <v>32</v>
      </c>
      <c r="L24" s="16" t="s">
        <v>461</v>
      </c>
      <c r="M24" s="16"/>
      <c r="N24" s="16"/>
      <c r="O24" s="16"/>
      <c r="P24" s="16"/>
      <c r="Q24" s="16">
        <v>1</v>
      </c>
    </row>
    <row r="25" spans="1:18" x14ac:dyDescent="0.25">
      <c r="A25" s="16"/>
      <c r="B25" s="16" t="s">
        <v>26</v>
      </c>
      <c r="C25" s="16" t="s">
        <v>521</v>
      </c>
      <c r="D25" s="16" t="s">
        <v>522</v>
      </c>
      <c r="E25" s="16" t="s">
        <v>317</v>
      </c>
      <c r="F25" s="17">
        <v>12</v>
      </c>
      <c r="G25" s="17">
        <v>0</v>
      </c>
      <c r="H25" s="17">
        <v>30</v>
      </c>
      <c r="I25" s="17">
        <f t="shared" si="0"/>
        <v>-30</v>
      </c>
      <c r="J25" s="16" t="s">
        <v>32</v>
      </c>
      <c r="K25" s="16" t="s">
        <v>32</v>
      </c>
      <c r="L25" s="16" t="s">
        <v>461</v>
      </c>
      <c r="M25" s="16"/>
      <c r="N25" s="16"/>
      <c r="O25" s="16"/>
      <c r="P25" s="16"/>
      <c r="Q25" s="16">
        <v>1</v>
      </c>
      <c r="R25" s="10">
        <f>H25</f>
        <v>30</v>
      </c>
    </row>
    <row r="26" spans="1:18" x14ac:dyDescent="0.25">
      <c r="A26" s="16"/>
      <c r="B26" s="16" t="s">
        <v>26</v>
      </c>
      <c r="C26" s="16" t="s">
        <v>523</v>
      </c>
      <c r="D26" s="16" t="s">
        <v>524</v>
      </c>
      <c r="E26" s="16" t="s">
        <v>525</v>
      </c>
      <c r="F26" s="16" t="s">
        <v>75</v>
      </c>
      <c r="G26" s="17">
        <v>1600</v>
      </c>
      <c r="H26" s="17">
        <v>20</v>
      </c>
      <c r="I26" s="17">
        <f t="shared" si="0"/>
        <v>1580</v>
      </c>
      <c r="J26" s="16" t="s">
        <v>32</v>
      </c>
      <c r="K26" s="16" t="s">
        <v>32</v>
      </c>
      <c r="L26" s="16" t="s">
        <v>461</v>
      </c>
      <c r="M26" s="16"/>
      <c r="N26" s="16"/>
      <c r="O26" s="16"/>
      <c r="P26" s="16"/>
      <c r="Q26" s="16">
        <v>1</v>
      </c>
    </row>
    <row r="27" spans="1:18" x14ac:dyDescent="0.25">
      <c r="A27" s="16"/>
      <c r="B27" s="16" t="s">
        <v>26</v>
      </c>
      <c r="C27" s="16" t="s">
        <v>526</v>
      </c>
      <c r="D27" s="16" t="s">
        <v>527</v>
      </c>
      <c r="E27" s="16" t="s">
        <v>528</v>
      </c>
      <c r="F27" s="16" t="s">
        <v>75</v>
      </c>
      <c r="G27" s="17">
        <v>0</v>
      </c>
      <c r="H27" s="17">
        <v>20</v>
      </c>
      <c r="I27" s="17">
        <f t="shared" si="0"/>
        <v>-20</v>
      </c>
      <c r="J27" s="16" t="s">
        <v>32</v>
      </c>
      <c r="K27" s="16" t="s">
        <v>32</v>
      </c>
      <c r="L27" s="16" t="s">
        <v>461</v>
      </c>
      <c r="M27" s="16"/>
      <c r="N27" s="16"/>
      <c r="O27" s="16"/>
      <c r="P27" s="16"/>
      <c r="Q27" s="16">
        <v>1</v>
      </c>
      <c r="R27" s="10">
        <f>H27</f>
        <v>20</v>
      </c>
    </row>
    <row r="28" spans="1:18" x14ac:dyDescent="0.25">
      <c r="A28" s="16"/>
      <c r="B28" s="16" t="s">
        <v>26</v>
      </c>
      <c r="C28" s="16" t="s">
        <v>529</v>
      </c>
      <c r="D28" s="16" t="s">
        <v>530</v>
      </c>
      <c r="E28" s="16" t="s">
        <v>531</v>
      </c>
      <c r="F28" s="16" t="s">
        <v>75</v>
      </c>
      <c r="G28" s="17">
        <v>510</v>
      </c>
      <c r="H28" s="17">
        <v>20</v>
      </c>
      <c r="I28" s="17">
        <f t="shared" si="0"/>
        <v>490</v>
      </c>
      <c r="J28" s="16" t="s">
        <v>32</v>
      </c>
      <c r="K28" s="16" t="s">
        <v>32</v>
      </c>
      <c r="L28" s="16" t="s">
        <v>461</v>
      </c>
      <c r="M28" s="16"/>
      <c r="N28" s="16"/>
      <c r="O28" s="16"/>
      <c r="P28" s="16"/>
      <c r="Q28" s="16">
        <v>1</v>
      </c>
    </row>
    <row r="29" spans="1:18" x14ac:dyDescent="0.25">
      <c r="A29" s="16"/>
      <c r="B29" s="16" t="s">
        <v>26</v>
      </c>
      <c r="C29" s="16" t="s">
        <v>532</v>
      </c>
      <c r="D29" s="16" t="s">
        <v>533</v>
      </c>
      <c r="E29" s="16" t="s">
        <v>534</v>
      </c>
      <c r="F29" s="16" t="s">
        <v>75</v>
      </c>
      <c r="G29" s="17">
        <v>1430</v>
      </c>
      <c r="H29" s="17">
        <v>20</v>
      </c>
      <c r="I29" s="17">
        <f t="shared" si="0"/>
        <v>1410</v>
      </c>
      <c r="J29" s="16" t="s">
        <v>32</v>
      </c>
      <c r="K29" s="16" t="s">
        <v>32</v>
      </c>
      <c r="L29" s="16" t="s">
        <v>461</v>
      </c>
      <c r="M29" s="16"/>
      <c r="N29" s="16"/>
      <c r="O29" s="16"/>
      <c r="P29" s="16"/>
      <c r="Q29" s="16">
        <v>1</v>
      </c>
    </row>
    <row r="30" spans="1:18" x14ac:dyDescent="0.25">
      <c r="A30" s="16"/>
      <c r="B30" s="16" t="s">
        <v>26</v>
      </c>
      <c r="C30" s="16" t="s">
        <v>535</v>
      </c>
      <c r="D30" s="16" t="s">
        <v>536</v>
      </c>
      <c r="E30" s="16" t="s">
        <v>537</v>
      </c>
      <c r="F30" s="16" t="s">
        <v>82</v>
      </c>
      <c r="G30" s="17">
        <v>855</v>
      </c>
      <c r="H30" s="17">
        <v>25</v>
      </c>
      <c r="I30" s="17">
        <f t="shared" si="0"/>
        <v>830</v>
      </c>
      <c r="J30" s="16" t="s">
        <v>32</v>
      </c>
      <c r="K30" s="16" t="s">
        <v>32</v>
      </c>
      <c r="L30" s="16" t="s">
        <v>461</v>
      </c>
      <c r="M30" s="16"/>
      <c r="N30" s="16"/>
      <c r="O30" s="16"/>
      <c r="P30" s="16"/>
      <c r="Q30" s="16">
        <v>1</v>
      </c>
    </row>
    <row r="31" spans="1:18" x14ac:dyDescent="0.25">
      <c r="A31" s="16"/>
      <c r="B31" s="16" t="s">
        <v>26</v>
      </c>
      <c r="C31" s="16" t="s">
        <v>538</v>
      </c>
      <c r="D31" s="16" t="s">
        <v>539</v>
      </c>
      <c r="E31" s="16" t="s">
        <v>540</v>
      </c>
      <c r="F31" s="16" t="s">
        <v>82</v>
      </c>
      <c r="G31" s="17">
        <v>845</v>
      </c>
      <c r="H31" s="17">
        <v>25</v>
      </c>
      <c r="I31" s="17">
        <f t="shared" si="0"/>
        <v>820</v>
      </c>
      <c r="J31" s="16" t="s">
        <v>32</v>
      </c>
      <c r="K31" s="16" t="s">
        <v>32</v>
      </c>
      <c r="L31" s="16" t="s">
        <v>461</v>
      </c>
      <c r="M31" s="16"/>
      <c r="N31" s="16"/>
      <c r="O31" s="16"/>
      <c r="P31" s="16"/>
      <c r="Q31" s="16">
        <v>1</v>
      </c>
    </row>
    <row r="32" spans="1:18" x14ac:dyDescent="0.25">
      <c r="A32" s="16"/>
      <c r="B32" s="16" t="s">
        <v>26</v>
      </c>
      <c r="C32" s="16" t="s">
        <v>541</v>
      </c>
      <c r="D32" s="16" t="s">
        <v>542</v>
      </c>
      <c r="E32" s="16" t="s">
        <v>543</v>
      </c>
      <c r="F32" s="17">
        <v>12</v>
      </c>
      <c r="G32" s="17">
        <v>600</v>
      </c>
      <c r="H32" s="17">
        <v>30</v>
      </c>
      <c r="I32" s="17">
        <f t="shared" si="0"/>
        <v>570</v>
      </c>
      <c r="J32" s="16" t="s">
        <v>32</v>
      </c>
      <c r="K32" s="16" t="s">
        <v>32</v>
      </c>
      <c r="L32" s="16" t="s">
        <v>461</v>
      </c>
      <c r="M32" s="16"/>
      <c r="N32" s="16"/>
      <c r="O32" s="16"/>
      <c r="P32" s="16"/>
      <c r="Q32" s="16">
        <v>1</v>
      </c>
    </row>
    <row r="33" spans="1:18" x14ac:dyDescent="0.25">
      <c r="A33" s="16"/>
      <c r="B33" s="16" t="s">
        <v>26</v>
      </c>
      <c r="C33" s="16" t="s">
        <v>544</v>
      </c>
      <c r="D33" s="16" t="s">
        <v>545</v>
      </c>
      <c r="E33" s="16" t="s">
        <v>546</v>
      </c>
      <c r="F33" s="17">
        <v>12</v>
      </c>
      <c r="G33" s="17">
        <v>0</v>
      </c>
      <c r="H33" s="17">
        <v>30</v>
      </c>
      <c r="I33" s="17">
        <f t="shared" si="0"/>
        <v>-30</v>
      </c>
      <c r="J33" s="16" t="s">
        <v>32</v>
      </c>
      <c r="K33" s="16" t="s">
        <v>32</v>
      </c>
      <c r="L33" s="16" t="s">
        <v>461</v>
      </c>
      <c r="M33" s="16"/>
      <c r="N33" s="16"/>
      <c r="O33" s="16"/>
      <c r="P33" s="16"/>
      <c r="Q33" s="16">
        <v>1</v>
      </c>
      <c r="R33" s="10">
        <f>H33</f>
        <v>30</v>
      </c>
    </row>
    <row r="34" spans="1:18" x14ac:dyDescent="0.25">
      <c r="A34" s="16"/>
      <c r="B34" s="16" t="s">
        <v>26</v>
      </c>
      <c r="C34" s="16" t="s">
        <v>547</v>
      </c>
      <c r="D34" s="16" t="s">
        <v>548</v>
      </c>
      <c r="E34" s="16" t="s">
        <v>549</v>
      </c>
      <c r="F34" s="17">
        <v>12</v>
      </c>
      <c r="G34" s="17">
        <v>0</v>
      </c>
      <c r="H34" s="17">
        <v>60</v>
      </c>
      <c r="I34" s="17">
        <f t="shared" si="0"/>
        <v>-60</v>
      </c>
      <c r="J34" s="16" t="s">
        <v>32</v>
      </c>
      <c r="K34" s="16" t="s">
        <v>32</v>
      </c>
      <c r="L34" s="16" t="s">
        <v>461</v>
      </c>
      <c r="M34" s="16"/>
      <c r="N34" s="16"/>
      <c r="O34" s="16"/>
      <c r="P34" s="16"/>
      <c r="Q34" s="16">
        <v>1</v>
      </c>
      <c r="R34" s="10">
        <f>H34</f>
        <v>60</v>
      </c>
    </row>
    <row r="35" spans="1:18" x14ac:dyDescent="0.25">
      <c r="A35" s="16" t="s">
        <v>141</v>
      </c>
      <c r="B35" s="16" t="s">
        <v>26</v>
      </c>
      <c r="C35" s="16" t="s">
        <v>204</v>
      </c>
      <c r="D35" s="16"/>
      <c r="E35" s="16" t="s">
        <v>205</v>
      </c>
      <c r="F35" s="16" t="s">
        <v>82</v>
      </c>
      <c r="G35" s="17">
        <v>10990</v>
      </c>
      <c r="H35" s="17">
        <v>60</v>
      </c>
      <c r="I35" s="17">
        <f t="shared" ref="I35:I60" si="1">G35-H35</f>
        <v>10930</v>
      </c>
      <c r="J35" s="16" t="s">
        <v>32</v>
      </c>
      <c r="K35" s="16" t="s">
        <v>32</v>
      </c>
      <c r="L35" s="16" t="s">
        <v>461</v>
      </c>
      <c r="M35" s="16"/>
      <c r="N35" s="16"/>
      <c r="O35" s="16"/>
      <c r="P35" s="16"/>
      <c r="Q35" s="16">
        <v>1</v>
      </c>
    </row>
    <row r="36" spans="1:18" x14ac:dyDescent="0.25">
      <c r="A36" s="16" t="s">
        <v>141</v>
      </c>
      <c r="B36" s="16" t="s">
        <v>26</v>
      </c>
      <c r="C36" s="16" t="s">
        <v>550</v>
      </c>
      <c r="D36" s="16"/>
      <c r="E36" s="16" t="s">
        <v>203</v>
      </c>
      <c r="F36" s="16" t="s">
        <v>93</v>
      </c>
      <c r="G36" s="17">
        <v>30</v>
      </c>
      <c r="H36" s="17">
        <v>30</v>
      </c>
      <c r="I36" s="17">
        <f t="shared" si="1"/>
        <v>0</v>
      </c>
      <c r="J36" s="16" t="s">
        <v>32</v>
      </c>
      <c r="K36" s="16" t="s">
        <v>32</v>
      </c>
      <c r="L36" s="16" t="s">
        <v>461</v>
      </c>
      <c r="M36" s="16"/>
      <c r="N36" s="16"/>
      <c r="O36" s="16"/>
      <c r="P36" s="16"/>
      <c r="Q36" s="16">
        <v>1</v>
      </c>
    </row>
    <row r="37" spans="1:18" x14ac:dyDescent="0.25">
      <c r="A37" s="16" t="s">
        <v>141</v>
      </c>
      <c r="B37" s="16" t="s">
        <v>26</v>
      </c>
      <c r="C37" s="16" t="s">
        <v>551</v>
      </c>
      <c r="D37" s="16"/>
      <c r="E37" s="16" t="s">
        <v>552</v>
      </c>
      <c r="F37" s="16" t="s">
        <v>82</v>
      </c>
      <c r="G37" s="17">
        <v>0</v>
      </c>
      <c r="H37" s="17">
        <v>30</v>
      </c>
      <c r="I37" s="17">
        <f t="shared" si="1"/>
        <v>-30</v>
      </c>
      <c r="J37" s="16" t="s">
        <v>32</v>
      </c>
      <c r="K37" s="16" t="s">
        <v>32</v>
      </c>
      <c r="L37" s="16" t="s">
        <v>461</v>
      </c>
      <c r="M37" s="16"/>
      <c r="N37" s="16"/>
      <c r="O37" s="16"/>
      <c r="P37" s="16"/>
      <c r="Q37" s="16">
        <v>1</v>
      </c>
      <c r="R37" s="10">
        <f>H37</f>
        <v>30</v>
      </c>
    </row>
    <row r="38" spans="1:18" x14ac:dyDescent="0.25">
      <c r="A38" s="16" t="s">
        <v>141</v>
      </c>
      <c r="B38" s="16" t="s">
        <v>26</v>
      </c>
      <c r="C38" s="16" t="s">
        <v>553</v>
      </c>
      <c r="D38" s="16"/>
      <c r="E38" s="16" t="s">
        <v>554</v>
      </c>
      <c r="F38" s="16" t="s">
        <v>93</v>
      </c>
      <c r="G38" s="17">
        <v>40</v>
      </c>
      <c r="H38" s="17">
        <v>40</v>
      </c>
      <c r="I38" s="17">
        <f t="shared" si="1"/>
        <v>0</v>
      </c>
      <c r="J38" s="16" t="s">
        <v>32</v>
      </c>
      <c r="K38" s="16" t="s">
        <v>32</v>
      </c>
      <c r="L38" s="16" t="s">
        <v>461</v>
      </c>
      <c r="M38" s="16"/>
      <c r="N38" s="16"/>
      <c r="O38" s="16"/>
      <c r="P38" s="16"/>
      <c r="Q38" s="16">
        <v>1</v>
      </c>
    </row>
    <row r="39" spans="1:18" x14ac:dyDescent="0.25">
      <c r="A39" s="16" t="s">
        <v>141</v>
      </c>
      <c r="B39" s="16" t="s">
        <v>26</v>
      </c>
      <c r="C39" s="16" t="s">
        <v>555</v>
      </c>
      <c r="D39" s="16"/>
      <c r="E39" s="16" t="s">
        <v>556</v>
      </c>
      <c r="F39" s="16" t="s">
        <v>82</v>
      </c>
      <c r="G39" s="17">
        <v>30</v>
      </c>
      <c r="H39" s="17">
        <v>30</v>
      </c>
      <c r="I39" s="17">
        <f t="shared" si="1"/>
        <v>0</v>
      </c>
      <c r="J39" s="16" t="s">
        <v>32</v>
      </c>
      <c r="K39" s="16" t="s">
        <v>32</v>
      </c>
      <c r="L39" s="16" t="s">
        <v>461</v>
      </c>
      <c r="M39" s="16"/>
      <c r="N39" s="16"/>
      <c r="O39" s="16"/>
      <c r="P39" s="16"/>
      <c r="Q39" s="16">
        <v>1</v>
      </c>
    </row>
    <row r="40" spans="1:18" x14ac:dyDescent="0.25">
      <c r="A40" s="16"/>
      <c r="B40" s="16" t="s">
        <v>26</v>
      </c>
      <c r="C40" s="16" t="s">
        <v>557</v>
      </c>
      <c r="D40" s="16" t="s">
        <v>558</v>
      </c>
      <c r="E40" s="16" t="s">
        <v>559</v>
      </c>
      <c r="F40" s="17">
        <v>7</v>
      </c>
      <c r="G40" s="17">
        <v>1760</v>
      </c>
      <c r="H40" s="17">
        <v>30</v>
      </c>
      <c r="I40" s="17">
        <f t="shared" si="1"/>
        <v>1730</v>
      </c>
      <c r="J40" s="16" t="s">
        <v>103</v>
      </c>
      <c r="K40" s="16" t="s">
        <v>32</v>
      </c>
      <c r="L40" s="16" t="s">
        <v>461</v>
      </c>
      <c r="M40" s="16"/>
      <c r="N40" s="16"/>
      <c r="O40" s="16"/>
      <c r="P40" s="16"/>
      <c r="Q40" s="16">
        <v>1</v>
      </c>
    </row>
    <row r="41" spans="1:18" x14ac:dyDescent="0.25">
      <c r="A41" s="16"/>
      <c r="B41" s="16" t="s">
        <v>26</v>
      </c>
      <c r="C41" s="16" t="s">
        <v>560</v>
      </c>
      <c r="D41" s="16" t="s">
        <v>561</v>
      </c>
      <c r="E41" s="16" t="s">
        <v>562</v>
      </c>
      <c r="F41" s="17">
        <v>4</v>
      </c>
      <c r="G41" s="17">
        <v>515</v>
      </c>
      <c r="H41" s="17">
        <v>25</v>
      </c>
      <c r="I41" s="17">
        <f t="shared" si="1"/>
        <v>490</v>
      </c>
      <c r="J41" s="16" t="s">
        <v>103</v>
      </c>
      <c r="K41" s="16" t="s">
        <v>32</v>
      </c>
      <c r="L41" s="16" t="s">
        <v>461</v>
      </c>
      <c r="M41" s="16"/>
      <c r="N41" s="16"/>
      <c r="O41" s="16"/>
      <c r="P41" s="16"/>
      <c r="Q41" s="16">
        <v>1</v>
      </c>
    </row>
    <row r="42" spans="1:18" x14ac:dyDescent="0.25">
      <c r="A42" s="16"/>
      <c r="B42" s="16" t="s">
        <v>26</v>
      </c>
      <c r="C42" s="16" t="s">
        <v>364</v>
      </c>
      <c r="D42" s="16" t="s">
        <v>563</v>
      </c>
      <c r="E42" s="16" t="s">
        <v>366</v>
      </c>
      <c r="F42" s="17">
        <v>1</v>
      </c>
      <c r="G42" s="17">
        <v>465</v>
      </c>
      <c r="H42" s="17">
        <v>25</v>
      </c>
      <c r="I42" s="17">
        <f t="shared" si="1"/>
        <v>440</v>
      </c>
      <c r="J42" s="16" t="s">
        <v>103</v>
      </c>
      <c r="K42" s="16" t="s">
        <v>32</v>
      </c>
      <c r="L42" s="16" t="s">
        <v>461</v>
      </c>
      <c r="M42" s="16"/>
      <c r="N42" s="16"/>
      <c r="O42" s="16"/>
      <c r="P42" s="16"/>
      <c r="Q42" s="16">
        <v>1</v>
      </c>
    </row>
    <row r="43" spans="1:18" x14ac:dyDescent="0.25">
      <c r="A43" s="16"/>
      <c r="B43" s="16" t="s">
        <v>26</v>
      </c>
      <c r="C43" s="16" t="s">
        <v>564</v>
      </c>
      <c r="D43" s="16" t="s">
        <v>565</v>
      </c>
      <c r="E43" s="16" t="s">
        <v>566</v>
      </c>
      <c r="F43" s="17">
        <v>7</v>
      </c>
      <c r="G43" s="17">
        <v>800</v>
      </c>
      <c r="H43" s="17">
        <v>30</v>
      </c>
      <c r="I43" s="17">
        <f t="shared" si="1"/>
        <v>770</v>
      </c>
      <c r="J43" s="16" t="s">
        <v>103</v>
      </c>
      <c r="K43" s="16" t="s">
        <v>32</v>
      </c>
      <c r="L43" s="16" t="s">
        <v>461</v>
      </c>
      <c r="M43" s="16"/>
      <c r="N43" s="16"/>
      <c r="O43" s="16"/>
      <c r="P43" s="16"/>
      <c r="Q43" s="16">
        <v>1</v>
      </c>
    </row>
    <row r="44" spans="1:18" x14ac:dyDescent="0.25">
      <c r="A44" s="16"/>
      <c r="B44" s="16" t="s">
        <v>26</v>
      </c>
      <c r="C44" s="16" t="s">
        <v>567</v>
      </c>
      <c r="D44" s="16" t="s">
        <v>568</v>
      </c>
      <c r="E44" s="16" t="s">
        <v>569</v>
      </c>
      <c r="F44" s="17">
        <v>1</v>
      </c>
      <c r="G44" s="17">
        <v>25</v>
      </c>
      <c r="H44" s="17">
        <v>25</v>
      </c>
      <c r="I44" s="17">
        <f t="shared" si="1"/>
        <v>0</v>
      </c>
      <c r="J44" s="16" t="s">
        <v>103</v>
      </c>
      <c r="K44" s="16" t="s">
        <v>32</v>
      </c>
      <c r="L44" s="16" t="s">
        <v>461</v>
      </c>
      <c r="M44" s="16"/>
      <c r="N44" s="16"/>
      <c r="O44" s="16"/>
      <c r="P44" s="16"/>
      <c r="Q44" s="16">
        <v>1</v>
      </c>
    </row>
    <row r="45" spans="1:18" x14ac:dyDescent="0.25">
      <c r="A45" s="16"/>
      <c r="B45" s="16" t="s">
        <v>26</v>
      </c>
      <c r="C45" s="16" t="s">
        <v>570</v>
      </c>
      <c r="D45" s="16" t="s">
        <v>571</v>
      </c>
      <c r="E45" s="16" t="s">
        <v>572</v>
      </c>
      <c r="F45" s="17">
        <v>10</v>
      </c>
      <c r="G45" s="17">
        <v>705</v>
      </c>
      <c r="H45" s="17">
        <v>25</v>
      </c>
      <c r="I45" s="17">
        <f t="shared" si="1"/>
        <v>680</v>
      </c>
      <c r="J45" s="16" t="s">
        <v>103</v>
      </c>
      <c r="K45" s="16" t="s">
        <v>32</v>
      </c>
      <c r="L45" s="16" t="s">
        <v>461</v>
      </c>
      <c r="M45" s="16"/>
      <c r="N45" s="16"/>
      <c r="O45" s="16"/>
      <c r="P45" s="16"/>
      <c r="Q45" s="16">
        <v>1</v>
      </c>
    </row>
    <row r="46" spans="1:18" x14ac:dyDescent="0.25">
      <c r="A46" s="16"/>
      <c r="B46" s="16" t="s">
        <v>26</v>
      </c>
      <c r="C46" s="16" t="s">
        <v>231</v>
      </c>
      <c r="D46" s="16" t="s">
        <v>573</v>
      </c>
      <c r="E46" s="16" t="s">
        <v>233</v>
      </c>
      <c r="F46" s="17">
        <v>3</v>
      </c>
      <c r="G46" s="17">
        <v>1405</v>
      </c>
      <c r="H46" s="17">
        <v>25</v>
      </c>
      <c r="I46" s="17">
        <f t="shared" si="1"/>
        <v>1380</v>
      </c>
      <c r="J46" s="16" t="s">
        <v>103</v>
      </c>
      <c r="K46" s="16" t="s">
        <v>32</v>
      </c>
      <c r="L46" s="16" t="s">
        <v>461</v>
      </c>
      <c r="M46" s="16"/>
      <c r="N46" s="16"/>
      <c r="O46" s="16"/>
      <c r="P46" s="16"/>
      <c r="Q46" s="16">
        <v>1</v>
      </c>
    </row>
    <row r="47" spans="1:18" x14ac:dyDescent="0.25">
      <c r="A47" s="16"/>
      <c r="B47" s="16" t="s">
        <v>26</v>
      </c>
      <c r="C47" s="16" t="s">
        <v>574</v>
      </c>
      <c r="D47" s="16" t="s">
        <v>575</v>
      </c>
      <c r="E47" s="16" t="s">
        <v>576</v>
      </c>
      <c r="F47" s="17">
        <v>4</v>
      </c>
      <c r="G47" s="17">
        <v>515</v>
      </c>
      <c r="H47" s="17">
        <v>25</v>
      </c>
      <c r="I47" s="17">
        <f t="shared" si="1"/>
        <v>490</v>
      </c>
      <c r="J47" s="16" t="s">
        <v>103</v>
      </c>
      <c r="K47" s="16" t="s">
        <v>32</v>
      </c>
      <c r="L47" s="16" t="s">
        <v>461</v>
      </c>
      <c r="M47" s="16"/>
      <c r="N47" s="16"/>
      <c r="O47" s="16"/>
      <c r="P47" s="16"/>
      <c r="Q47" s="16">
        <v>1</v>
      </c>
    </row>
    <row r="48" spans="1:18" x14ac:dyDescent="0.25">
      <c r="A48" s="16"/>
      <c r="B48" s="16" t="s">
        <v>26</v>
      </c>
      <c r="C48" s="16" t="s">
        <v>577</v>
      </c>
      <c r="D48" s="16" t="s">
        <v>578</v>
      </c>
      <c r="E48" s="16" t="s">
        <v>579</v>
      </c>
      <c r="F48" s="17">
        <v>7</v>
      </c>
      <c r="G48" s="17">
        <v>1880</v>
      </c>
      <c r="H48" s="17">
        <v>30</v>
      </c>
      <c r="I48" s="17">
        <f t="shared" si="1"/>
        <v>1850</v>
      </c>
      <c r="J48" s="16" t="s">
        <v>103</v>
      </c>
      <c r="K48" s="16" t="s">
        <v>32</v>
      </c>
      <c r="L48" s="16" t="s">
        <v>461</v>
      </c>
      <c r="M48" s="16"/>
      <c r="N48" s="16"/>
      <c r="O48" s="16"/>
      <c r="P48" s="16"/>
      <c r="Q48" s="16">
        <v>1</v>
      </c>
    </row>
    <row r="49" spans="1:18" x14ac:dyDescent="0.25">
      <c r="A49" s="16"/>
      <c r="B49" s="16" t="s">
        <v>26</v>
      </c>
      <c r="C49" s="16" t="s">
        <v>580</v>
      </c>
      <c r="D49" s="16" t="s">
        <v>581</v>
      </c>
      <c r="E49" s="16" t="s">
        <v>582</v>
      </c>
      <c r="F49" s="17">
        <v>10</v>
      </c>
      <c r="G49" s="17">
        <v>935</v>
      </c>
      <c r="H49" s="17">
        <v>25</v>
      </c>
      <c r="I49" s="17">
        <f t="shared" si="1"/>
        <v>910</v>
      </c>
      <c r="J49" s="16" t="s">
        <v>103</v>
      </c>
      <c r="K49" s="16" t="s">
        <v>32</v>
      </c>
      <c r="L49" s="16" t="s">
        <v>461</v>
      </c>
      <c r="M49" s="16"/>
      <c r="N49" s="16"/>
      <c r="O49" s="16"/>
      <c r="P49" s="16"/>
      <c r="Q49" s="16">
        <v>1</v>
      </c>
    </row>
    <row r="50" spans="1:18" x14ac:dyDescent="0.25">
      <c r="A50" s="16"/>
      <c r="B50" s="16" t="s">
        <v>26</v>
      </c>
      <c r="C50" s="16" t="s">
        <v>583</v>
      </c>
      <c r="D50" s="16" t="s">
        <v>584</v>
      </c>
      <c r="E50" s="16" t="s">
        <v>585</v>
      </c>
      <c r="F50" s="16" t="s">
        <v>93</v>
      </c>
      <c r="G50" s="17">
        <v>545</v>
      </c>
      <c r="H50" s="17">
        <v>25</v>
      </c>
      <c r="I50" s="17">
        <f t="shared" si="1"/>
        <v>520</v>
      </c>
      <c r="J50" s="16" t="s">
        <v>103</v>
      </c>
      <c r="K50" s="16" t="s">
        <v>32</v>
      </c>
      <c r="L50" s="16" t="s">
        <v>461</v>
      </c>
      <c r="M50" s="16"/>
      <c r="N50" s="16"/>
      <c r="O50" s="16"/>
      <c r="P50" s="16"/>
      <c r="Q50" s="16">
        <v>1</v>
      </c>
    </row>
    <row r="51" spans="1:18" x14ac:dyDescent="0.25">
      <c r="A51" s="16"/>
      <c r="B51" s="16" t="s">
        <v>26</v>
      </c>
      <c r="C51" s="16" t="s">
        <v>586</v>
      </c>
      <c r="D51" s="16" t="s">
        <v>587</v>
      </c>
      <c r="E51" s="16" t="s">
        <v>588</v>
      </c>
      <c r="F51" s="17">
        <v>5</v>
      </c>
      <c r="G51" s="17">
        <v>0</v>
      </c>
      <c r="H51" s="17">
        <v>25</v>
      </c>
      <c r="I51" s="17">
        <f t="shared" si="1"/>
        <v>-25</v>
      </c>
      <c r="J51" s="16" t="s">
        <v>103</v>
      </c>
      <c r="K51" s="16" t="s">
        <v>32</v>
      </c>
      <c r="L51" s="16" t="s">
        <v>461</v>
      </c>
      <c r="M51" s="16"/>
      <c r="N51" s="16"/>
      <c r="O51" s="16"/>
      <c r="P51" s="16"/>
      <c r="Q51" s="16">
        <v>1</v>
      </c>
      <c r="R51" s="10">
        <f>H51</f>
        <v>25</v>
      </c>
    </row>
    <row r="52" spans="1:18" s="21" customFormat="1" x14ac:dyDescent="0.25">
      <c r="A52" s="19"/>
      <c r="B52" s="19" t="s">
        <v>26</v>
      </c>
      <c r="C52" s="19" t="s">
        <v>111</v>
      </c>
      <c r="D52" s="19" t="s">
        <v>589</v>
      </c>
      <c r="E52" s="19" t="s">
        <v>113</v>
      </c>
      <c r="F52" s="20">
        <v>4</v>
      </c>
      <c r="G52" s="20">
        <v>25</v>
      </c>
      <c r="H52" s="20">
        <v>25</v>
      </c>
      <c r="I52" s="20">
        <f t="shared" si="1"/>
        <v>0</v>
      </c>
      <c r="J52" s="19" t="s">
        <v>103</v>
      </c>
      <c r="K52" s="19" t="s">
        <v>32</v>
      </c>
      <c r="L52" s="19" t="s">
        <v>461</v>
      </c>
      <c r="M52" s="19" t="s">
        <v>68</v>
      </c>
      <c r="N52" s="19"/>
      <c r="O52" s="19"/>
      <c r="P52" s="19"/>
      <c r="Q52" s="19">
        <v>1</v>
      </c>
    </row>
    <row r="53" spans="1:18" x14ac:dyDescent="0.25">
      <c r="A53" s="16"/>
      <c r="B53" s="16" t="s">
        <v>26</v>
      </c>
      <c r="C53" s="16" t="s">
        <v>590</v>
      </c>
      <c r="D53" s="16" t="s">
        <v>591</v>
      </c>
      <c r="E53" s="16" t="s">
        <v>592</v>
      </c>
      <c r="F53" s="17">
        <v>3</v>
      </c>
      <c r="G53" s="17">
        <v>1445</v>
      </c>
      <c r="H53" s="17">
        <v>25</v>
      </c>
      <c r="I53" s="17">
        <f t="shared" si="1"/>
        <v>1420</v>
      </c>
      <c r="J53" s="16" t="s">
        <v>103</v>
      </c>
      <c r="K53" s="16" t="s">
        <v>32</v>
      </c>
      <c r="L53" s="16" t="s">
        <v>461</v>
      </c>
      <c r="M53" s="16"/>
      <c r="N53" s="16"/>
      <c r="O53" s="16"/>
      <c r="P53" s="16"/>
      <c r="Q53" s="16">
        <v>1</v>
      </c>
    </row>
    <row r="54" spans="1:18" x14ac:dyDescent="0.25">
      <c r="A54" s="16"/>
      <c r="B54" s="16" t="s">
        <v>26</v>
      </c>
      <c r="C54" s="16" t="s">
        <v>593</v>
      </c>
      <c r="D54" s="16" t="s">
        <v>594</v>
      </c>
      <c r="E54" s="16" t="s">
        <v>595</v>
      </c>
      <c r="F54" s="17">
        <v>7</v>
      </c>
      <c r="G54" s="17">
        <v>570</v>
      </c>
      <c r="H54" s="17">
        <v>30</v>
      </c>
      <c r="I54" s="17">
        <f t="shared" si="1"/>
        <v>540</v>
      </c>
      <c r="J54" s="16" t="s">
        <v>103</v>
      </c>
      <c r="K54" s="16" t="s">
        <v>32</v>
      </c>
      <c r="L54" s="16" t="s">
        <v>461</v>
      </c>
      <c r="M54" s="16"/>
      <c r="N54" s="16"/>
      <c r="O54" s="16"/>
      <c r="P54" s="16"/>
      <c r="Q54" s="16">
        <v>1</v>
      </c>
    </row>
    <row r="55" spans="1:18" x14ac:dyDescent="0.25">
      <c r="A55" s="16"/>
      <c r="B55" s="16" t="s">
        <v>26</v>
      </c>
      <c r="C55" s="16" t="s">
        <v>596</v>
      </c>
      <c r="D55" s="16" t="s">
        <v>597</v>
      </c>
      <c r="E55" s="16" t="s">
        <v>598</v>
      </c>
      <c r="F55" s="17">
        <v>3</v>
      </c>
      <c r="G55" s="17">
        <v>375</v>
      </c>
      <c r="H55" s="17">
        <v>25</v>
      </c>
      <c r="I55" s="17">
        <f t="shared" si="1"/>
        <v>350</v>
      </c>
      <c r="J55" s="16" t="s">
        <v>103</v>
      </c>
      <c r="K55" s="16" t="s">
        <v>32</v>
      </c>
      <c r="L55" s="16" t="s">
        <v>461</v>
      </c>
      <c r="M55" s="16"/>
      <c r="N55" s="16"/>
      <c r="O55" s="16"/>
      <c r="P55" s="16"/>
      <c r="Q55" s="16">
        <v>1</v>
      </c>
    </row>
    <row r="56" spans="1:18" x14ac:dyDescent="0.25">
      <c r="A56" s="16"/>
      <c r="B56" s="16" t="s">
        <v>26</v>
      </c>
      <c r="C56" s="16" t="s">
        <v>599</v>
      </c>
      <c r="D56" s="16" t="s">
        <v>600</v>
      </c>
      <c r="E56" s="16" t="s">
        <v>601</v>
      </c>
      <c r="F56" s="17">
        <v>3</v>
      </c>
      <c r="G56" s="17">
        <v>995</v>
      </c>
      <c r="H56" s="17">
        <v>25</v>
      </c>
      <c r="I56" s="17">
        <f t="shared" si="1"/>
        <v>970</v>
      </c>
      <c r="J56" s="16" t="s">
        <v>103</v>
      </c>
      <c r="K56" s="16" t="s">
        <v>32</v>
      </c>
      <c r="L56" s="16" t="s">
        <v>461</v>
      </c>
      <c r="M56" s="16"/>
      <c r="N56" s="16"/>
      <c r="O56" s="16"/>
      <c r="P56" s="16"/>
      <c r="Q56" s="16">
        <v>1</v>
      </c>
    </row>
    <row r="57" spans="1:18" x14ac:dyDescent="0.25">
      <c r="A57" s="16" t="s">
        <v>141</v>
      </c>
      <c r="B57" s="16" t="s">
        <v>26</v>
      </c>
      <c r="C57" s="16" t="s">
        <v>602</v>
      </c>
      <c r="D57" s="16"/>
      <c r="E57" s="16" t="s">
        <v>603</v>
      </c>
      <c r="F57" s="17">
        <v>5</v>
      </c>
      <c r="G57" s="17">
        <v>870</v>
      </c>
      <c r="H57" s="17">
        <v>30</v>
      </c>
      <c r="I57" s="17">
        <f t="shared" si="1"/>
        <v>840</v>
      </c>
      <c r="J57" s="16" t="s">
        <v>103</v>
      </c>
      <c r="K57" s="16" t="s">
        <v>32</v>
      </c>
      <c r="L57" s="16" t="s">
        <v>461</v>
      </c>
      <c r="M57" s="16"/>
      <c r="N57" s="16"/>
      <c r="O57" s="16"/>
      <c r="P57" s="16"/>
      <c r="Q57" s="16">
        <v>1</v>
      </c>
    </row>
    <row r="58" spans="1:18" x14ac:dyDescent="0.25">
      <c r="A58" s="16" t="s">
        <v>141</v>
      </c>
      <c r="B58" s="16" t="s">
        <v>26</v>
      </c>
      <c r="C58" s="16" t="s">
        <v>604</v>
      </c>
      <c r="D58" s="16"/>
      <c r="E58" s="16" t="s">
        <v>605</v>
      </c>
      <c r="F58" s="16" t="s">
        <v>93</v>
      </c>
      <c r="G58" s="17">
        <v>0</v>
      </c>
      <c r="H58" s="17">
        <v>30</v>
      </c>
      <c r="I58" s="17">
        <f t="shared" si="1"/>
        <v>-30</v>
      </c>
      <c r="J58" s="16" t="s">
        <v>103</v>
      </c>
      <c r="K58" s="16" t="s">
        <v>32</v>
      </c>
      <c r="L58" s="16" t="s">
        <v>461</v>
      </c>
      <c r="M58" s="16"/>
      <c r="N58" s="16"/>
      <c r="O58" s="16"/>
      <c r="P58" s="16"/>
      <c r="Q58" s="16">
        <v>1</v>
      </c>
      <c r="R58" s="10">
        <f>H58</f>
        <v>30</v>
      </c>
    </row>
    <row r="59" spans="1:18" x14ac:dyDescent="0.25">
      <c r="A59" s="16" t="s">
        <v>141</v>
      </c>
      <c r="B59" s="16" t="s">
        <v>26</v>
      </c>
      <c r="C59" s="16" t="s">
        <v>606</v>
      </c>
      <c r="D59" s="16"/>
      <c r="E59" s="16" t="s">
        <v>607</v>
      </c>
      <c r="F59" s="17">
        <v>4</v>
      </c>
      <c r="G59" s="17">
        <v>30</v>
      </c>
      <c r="H59" s="17">
        <v>30</v>
      </c>
      <c r="I59" s="17">
        <f t="shared" si="1"/>
        <v>0</v>
      </c>
      <c r="J59" s="16" t="s">
        <v>103</v>
      </c>
      <c r="K59" s="16" t="s">
        <v>32</v>
      </c>
      <c r="L59" s="16" t="s">
        <v>461</v>
      </c>
      <c r="M59" s="16"/>
      <c r="N59" s="16"/>
      <c r="O59" s="16"/>
      <c r="P59" s="16"/>
      <c r="Q59" s="16">
        <v>1</v>
      </c>
    </row>
    <row r="60" spans="1:18" x14ac:dyDescent="0.25">
      <c r="A60" s="23"/>
      <c r="B60" s="23" t="s">
        <v>26</v>
      </c>
      <c r="C60" s="23" t="s">
        <v>608</v>
      </c>
      <c r="D60" s="23" t="s">
        <v>609</v>
      </c>
      <c r="E60" s="23" t="s">
        <v>610</v>
      </c>
      <c r="F60" s="23" t="s">
        <v>611</v>
      </c>
      <c r="G60" s="24">
        <v>830</v>
      </c>
      <c r="H60" s="24">
        <v>0</v>
      </c>
      <c r="I60" s="24">
        <f t="shared" si="1"/>
        <v>830</v>
      </c>
      <c r="J60" s="23" t="s">
        <v>269</v>
      </c>
      <c r="K60" s="23" t="s">
        <v>32</v>
      </c>
      <c r="L60" s="23" t="s">
        <v>461</v>
      </c>
      <c r="M60" s="23" t="s">
        <v>612</v>
      </c>
      <c r="N60" s="23" t="s">
        <v>271</v>
      </c>
      <c r="O60" s="23"/>
      <c r="P60" s="23" t="s">
        <v>272</v>
      </c>
      <c r="Q60" s="16">
        <v>1</v>
      </c>
    </row>
    <row r="62" spans="1:18" x14ac:dyDescent="0.25">
      <c r="D62" s="1">
        <f>COUNTA(D3:D60)</f>
        <v>47</v>
      </c>
      <c r="G62" s="1">
        <f t="shared" ref="G62:Q62" si="2">SUBTOTAL(9,G3:G60)</f>
        <v>45635</v>
      </c>
      <c r="H62" s="1">
        <f t="shared" si="2"/>
        <v>1605</v>
      </c>
      <c r="I62" s="1">
        <f t="shared" si="2"/>
        <v>44030</v>
      </c>
      <c r="J62" s="1">
        <f t="shared" si="2"/>
        <v>0</v>
      </c>
      <c r="K62" s="1">
        <f t="shared" si="2"/>
        <v>0</v>
      </c>
      <c r="L62" s="1">
        <f t="shared" si="2"/>
        <v>0</v>
      </c>
      <c r="M62" s="1">
        <f t="shared" si="2"/>
        <v>0</v>
      </c>
      <c r="N62" s="1">
        <f t="shared" si="2"/>
        <v>0</v>
      </c>
      <c r="O62" s="1">
        <f t="shared" si="2"/>
        <v>0</v>
      </c>
      <c r="P62" s="1">
        <f t="shared" si="2"/>
        <v>0</v>
      </c>
      <c r="Q62" s="1">
        <f t="shared" si="2"/>
        <v>58</v>
      </c>
    </row>
    <row r="63" spans="1:18" x14ac:dyDescent="0.25">
      <c r="H63">
        <f>-8*17</f>
        <v>-136</v>
      </c>
    </row>
    <row r="64" spans="1:18" x14ac:dyDescent="0.25">
      <c r="A64" s="1" t="s">
        <v>26</v>
      </c>
      <c r="C64" s="34" t="s">
        <v>144</v>
      </c>
      <c r="D64" s="34"/>
      <c r="E64" s="4" t="s">
        <v>145</v>
      </c>
      <c r="H64">
        <f>-2*25</f>
        <v>-50</v>
      </c>
      <c r="K64" s="11" t="s">
        <v>32</v>
      </c>
      <c r="L64" s="11" t="s">
        <v>146</v>
      </c>
      <c r="M64" s="11" t="s">
        <v>145</v>
      </c>
      <c r="O64" s="4" t="s">
        <v>147</v>
      </c>
    </row>
    <row r="65" spans="1:16" x14ac:dyDescent="0.25">
      <c r="A65" t="s">
        <v>461</v>
      </c>
      <c r="B65" s="3" t="s">
        <v>148</v>
      </c>
      <c r="C65" s="35">
        <f>SUMIFS(I$3:I$60,B$3:B$60,A$64,L$3:L$60,A$65)</f>
        <v>44030</v>
      </c>
      <c r="D65" s="35"/>
      <c r="E65" s="3">
        <f>SUMIFS(Q$3:Q$60,B$3:B$60,A$64,L$3:L$60,A$65)</f>
        <v>58</v>
      </c>
      <c r="F65" t="s">
        <v>149</v>
      </c>
      <c r="H65">
        <f>-1*30</f>
        <v>-30</v>
      </c>
      <c r="K65" t="s">
        <v>150</v>
      </c>
      <c r="L65">
        <f>SUMIFS(G$3:G$60,J$3:J$60,K$64)</f>
        <v>21190</v>
      </c>
      <c r="M65">
        <f>SUMIFS(Q$3:Q$60,J$3:J$60,K$64)-INT(COUNTIFS(J$3:J$60,K$64,M$3:M$60,"*gộp*")/2)</f>
        <v>21</v>
      </c>
      <c r="O65" t="s">
        <v>32</v>
      </c>
      <c r="P65">
        <f>L70</f>
        <v>20553</v>
      </c>
    </row>
    <row r="66" spans="1:16" x14ac:dyDescent="0.25">
      <c r="B66" s="2" t="s">
        <v>152</v>
      </c>
      <c r="C66" s="36">
        <v>0</v>
      </c>
      <c r="D66" s="36"/>
      <c r="K66" t="s">
        <v>153</v>
      </c>
      <c r="L66">
        <f>-SUMIFS(H$3:H$60,J$3:J$60,K$64)+M66*5</f>
        <v>-525</v>
      </c>
      <c r="M66">
        <f>SUMIFS(Q$3:Q$60,J$3:J$60,K$64)-INT(COUNTIFS(J$3:J$60,K$64,M$3:M$60,"*gộp*")/2)</f>
        <v>21</v>
      </c>
      <c r="O66" t="s">
        <v>613</v>
      </c>
      <c r="P66">
        <f>L78</f>
        <v>7589</v>
      </c>
    </row>
    <row r="67" spans="1:16" x14ac:dyDescent="0.25">
      <c r="B67" s="2" t="s">
        <v>154</v>
      </c>
      <c r="C67" s="36">
        <f>-SUMIFS(I$3:I$60,B$3:B$60,A$64,P$3:P$60,"xx",N$3:N$60,"x")</f>
        <v>-830</v>
      </c>
      <c r="D67" s="36"/>
      <c r="E67" s="2">
        <f>SUMIFS(Q$3:Q$60,B$3:B$60,A$64,P$3:P$60,"xx",N$3:N$60,"x")</f>
        <v>1</v>
      </c>
      <c r="K67" t="s">
        <v>155</v>
      </c>
      <c r="L67">
        <f>-M67*2</f>
        <v>-112</v>
      </c>
      <c r="M67">
        <f>E68-(COUNTIFS(M$3:M$60,"*gộp*")/2)-COUNTIFS(M$3:M$60,"*đơn trả*")-COUNTIFS(M$3:M$60,"*hàng tỉnh*")</f>
        <v>56</v>
      </c>
      <c r="O67" t="s">
        <v>103</v>
      </c>
      <c r="P67">
        <f>L86</f>
        <v>13425</v>
      </c>
    </row>
    <row r="68" spans="1:16" x14ac:dyDescent="0.25">
      <c r="B68" s="4" t="s">
        <v>156</v>
      </c>
      <c r="C68" s="34">
        <f>SUBTOTAL(9,C65:C67)</f>
        <v>43200</v>
      </c>
      <c r="D68" s="34"/>
      <c r="E68">
        <f>E65</f>
        <v>58</v>
      </c>
      <c r="K68" s="12" t="s">
        <v>157</v>
      </c>
      <c r="O68" t="s">
        <v>460</v>
      </c>
      <c r="P68">
        <f>L94</f>
        <v>1840</v>
      </c>
    </row>
    <row r="69" spans="1:16" x14ac:dyDescent="0.25">
      <c r="B69" s="2" t="s">
        <v>159</v>
      </c>
      <c r="C69" s="32"/>
      <c r="D69" s="32"/>
      <c r="K69" s="2" t="s">
        <v>160</v>
      </c>
      <c r="O69" t="s">
        <v>158</v>
      </c>
      <c r="P69">
        <f>-C72</f>
        <v>-43200</v>
      </c>
    </row>
    <row r="70" spans="1:16" x14ac:dyDescent="0.25">
      <c r="B70" s="13" t="s">
        <v>162</v>
      </c>
      <c r="C70" s="32"/>
      <c r="D70" s="32"/>
      <c r="L70" s="14">
        <f>SUBTOTAL(9,L65:L69)</f>
        <v>20553</v>
      </c>
      <c r="M70" s="14">
        <f>M65</f>
        <v>21</v>
      </c>
      <c r="O70" s="4" t="s">
        <v>161</v>
      </c>
      <c r="P70" s="4">
        <f>SUBTOTAL(9,P65:P69)</f>
        <v>207</v>
      </c>
    </row>
    <row r="72" spans="1:16" x14ac:dyDescent="0.25">
      <c r="B72" s="1" t="s">
        <v>163</v>
      </c>
      <c r="C72" s="33">
        <f>C68+C69+C70</f>
        <v>43200</v>
      </c>
      <c r="D72" s="33"/>
      <c r="E72" s="1" t="s">
        <v>164</v>
      </c>
      <c r="K72" s="11" t="s">
        <v>472</v>
      </c>
      <c r="L72" s="11" t="s">
        <v>146</v>
      </c>
      <c r="M72" s="11" t="s">
        <v>145</v>
      </c>
    </row>
    <row r="73" spans="1:16" x14ac:dyDescent="0.25">
      <c r="K73" t="s">
        <v>150</v>
      </c>
      <c r="L73">
        <f>SUMIFS(G$3:G$60,J$3:J$60,K$72)</f>
        <v>7805</v>
      </c>
      <c r="M73">
        <f>SUMIFS(Q$3:Q$60,J$3:J$60,K$72)-INT(COUNTIFS(J$3:J$60,K$72,M$3:M$60,"*gộp*")/2)</f>
        <v>11</v>
      </c>
    </row>
    <row r="74" spans="1:16" x14ac:dyDescent="0.25">
      <c r="K74" t="s">
        <v>153</v>
      </c>
      <c r="L74">
        <f>SUM(H63:H65)</f>
        <v>-216</v>
      </c>
      <c r="M74">
        <f>SUMIFS(Q$3:Q$60,J$3:J$60,K$72)-INT(COUNTIFS(J$3:J$60,K$72,M$3:M$60,"*gộp*")/2)</f>
        <v>11</v>
      </c>
    </row>
    <row r="75" spans="1:16" x14ac:dyDescent="0.25">
      <c r="K75" t="s">
        <v>155</v>
      </c>
    </row>
    <row r="76" spans="1:16" x14ac:dyDescent="0.25">
      <c r="K76" s="12" t="s">
        <v>157</v>
      </c>
    </row>
    <row r="77" spans="1:16" x14ac:dyDescent="0.25">
      <c r="K77" s="2" t="s">
        <v>160</v>
      </c>
    </row>
    <row r="78" spans="1:16" x14ac:dyDescent="0.25">
      <c r="L78" s="14">
        <f>SUBTOTAL(9,L73:L77)</f>
        <v>7589</v>
      </c>
      <c r="M78" s="14">
        <f>M73</f>
        <v>11</v>
      </c>
    </row>
    <row r="80" spans="1:16" x14ac:dyDescent="0.25">
      <c r="K80" s="11" t="s">
        <v>103</v>
      </c>
      <c r="L80" s="11" t="s">
        <v>146</v>
      </c>
      <c r="M80" s="11" t="s">
        <v>145</v>
      </c>
    </row>
    <row r="81" spans="11:13" x14ac:dyDescent="0.25">
      <c r="K81" t="s">
        <v>150</v>
      </c>
      <c r="L81">
        <f>SUMIFS(G$3:G$60,J$3:J$60,K$80)</f>
        <v>13860</v>
      </c>
      <c r="M81">
        <f>SUMIFS(Q$3:Q$60,J$3:J$60,K$80)-INT(COUNTIFS(J$3:J$60,K$80,M$3:M$60,"*gộp*")/2)</f>
        <v>20</v>
      </c>
    </row>
    <row r="82" spans="11:13" x14ac:dyDescent="0.25">
      <c r="K82" t="s">
        <v>153</v>
      </c>
      <c r="L82">
        <f>-SUMIFS(H$3:H$60,J$3:J$60,K$80)+M82*5</f>
        <v>-435</v>
      </c>
      <c r="M82">
        <f>SUMIFS(Q$3:Q$60,J$3:J$60,K$80)-INT(COUNTIFS(J$3:J$60,K$80,M$3:M$60,"*gộp*")/2)</f>
        <v>20</v>
      </c>
    </row>
    <row r="83" spans="11:13" x14ac:dyDescent="0.25">
      <c r="K83" t="s">
        <v>155</v>
      </c>
    </row>
    <row r="84" spans="11:13" x14ac:dyDescent="0.25">
      <c r="K84" s="12" t="s">
        <v>157</v>
      </c>
    </row>
    <row r="85" spans="11:13" x14ac:dyDescent="0.25">
      <c r="K85" s="2" t="s">
        <v>160</v>
      </c>
    </row>
    <row r="86" spans="11:13" x14ac:dyDescent="0.25">
      <c r="L86" s="14">
        <f>SUBTOTAL(9,L81:L85)</f>
        <v>13425</v>
      </c>
      <c r="M86" s="14">
        <f>M81</f>
        <v>20</v>
      </c>
    </row>
    <row r="88" spans="11:13" x14ac:dyDescent="0.25">
      <c r="K88" s="11" t="s">
        <v>460</v>
      </c>
      <c r="L88" s="11" t="s">
        <v>146</v>
      </c>
      <c r="M88" s="11" t="s">
        <v>145</v>
      </c>
    </row>
    <row r="89" spans="11:13" x14ac:dyDescent="0.25">
      <c r="K89" t="s">
        <v>150</v>
      </c>
      <c r="L89">
        <f>SUMIFS(G$3:G$60,J$3:J$60,K$88)</f>
        <v>1950</v>
      </c>
      <c r="M89">
        <f>SUMIFS(Q$3:Q$60,J$3:J$60,K$88)-INT(COUNTIFS(J$3:J$60,K$88,M$3:M$60,"*gộp*")/2)</f>
        <v>4</v>
      </c>
    </row>
    <row r="90" spans="11:13" x14ac:dyDescent="0.25">
      <c r="K90" t="s">
        <v>153</v>
      </c>
      <c r="L90">
        <f>-SUMIFS(H$3:H$60,J$3:J$60,K$88)+M90*5</f>
        <v>-110</v>
      </c>
      <c r="M90">
        <f>SUMIFS(Q$3:Q$60,J$3:J$60,K$88)-INT(COUNTIFS(J$3:J$60,K$88,M$3:M$60,"*gộp*")/2)</f>
        <v>4</v>
      </c>
    </row>
    <row r="91" spans="11:13" x14ac:dyDescent="0.25">
      <c r="K91" t="s">
        <v>155</v>
      </c>
    </row>
    <row r="92" spans="11:13" x14ac:dyDescent="0.25">
      <c r="K92" s="12" t="s">
        <v>157</v>
      </c>
    </row>
    <row r="93" spans="11:13" x14ac:dyDescent="0.25">
      <c r="K93" s="2" t="s">
        <v>160</v>
      </c>
    </row>
    <row r="94" spans="11:13" x14ac:dyDescent="0.25">
      <c r="L94" s="14">
        <f>SUBTOTAL(9,L89:L93)</f>
        <v>1840</v>
      </c>
      <c r="M94" s="14">
        <f>M89</f>
        <v>4</v>
      </c>
    </row>
  </sheetData>
  <autoFilter ref="A2:P60" xr:uid="{00000000-0009-0000-0000-000005000000}">
    <sortState xmlns:xlrd2="http://schemas.microsoft.com/office/spreadsheetml/2017/richdata2" ref="A3:P60">
      <sortCondition ref="J2:J60"/>
    </sortState>
  </autoFilter>
  <mergeCells count="8">
    <mergeCell ref="C69:D69"/>
    <mergeCell ref="C70:D70"/>
    <mergeCell ref="C72:D72"/>
    <mergeCell ref="C64:D64"/>
    <mergeCell ref="C65:D65"/>
    <mergeCell ref="C66:D66"/>
    <mergeCell ref="C67:D67"/>
    <mergeCell ref="C68:D68"/>
  </mergeCells>
  <pageMargins left="0.75" right="0.75" top="0.75" bottom="0.5" header="0.5" footer="0.7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R61"/>
  <sheetViews>
    <sheetView workbookViewId="0"/>
  </sheetViews>
  <sheetFormatPr defaultRowHeight="15" x14ac:dyDescent="0.25"/>
  <cols>
    <col min="1" max="1" width="12.7109375" customWidth="1"/>
    <col min="2" max="2" width="17.7109375" customWidth="1"/>
    <col min="3" max="3" width="31.85546875" customWidth="1"/>
    <col min="4" max="4" width="9.85546875" customWidth="1"/>
    <col min="5" max="5" width="57" customWidth="1"/>
    <col min="6" max="6" width="10.855468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0.42578125" customWidth="1"/>
    <col min="13" max="13" width="14.7109375" bestFit="1" customWidth="1"/>
    <col min="14" max="14" width="9.7109375" customWidth="1"/>
    <col min="15" max="15" width="10.42578125" customWidth="1"/>
    <col min="16" max="16" width="7" bestFit="1" customWidth="1"/>
    <col min="17" max="17" width="6.42578125" customWidth="1"/>
  </cols>
  <sheetData>
    <row r="2" spans="1:18" x14ac:dyDescent="0.25">
      <c r="A2" s="15" t="s">
        <v>10</v>
      </c>
      <c r="B2" s="15" t="s">
        <v>11</v>
      </c>
      <c r="C2" s="15" t="s">
        <v>12</v>
      </c>
      <c r="D2" s="15" t="s">
        <v>13</v>
      </c>
      <c r="E2" s="15" t="s">
        <v>14</v>
      </c>
      <c r="F2" s="15" t="s">
        <v>15</v>
      </c>
      <c r="G2" s="15" t="s">
        <v>16</v>
      </c>
      <c r="H2" s="15" t="s">
        <v>17</v>
      </c>
      <c r="I2" s="15" t="s">
        <v>18</v>
      </c>
      <c r="J2" s="15" t="s">
        <v>19</v>
      </c>
      <c r="K2" s="15" t="s">
        <v>20</v>
      </c>
      <c r="L2" s="15" t="s">
        <v>21</v>
      </c>
      <c r="M2" s="15" t="s">
        <v>22</v>
      </c>
      <c r="N2" s="15" t="s">
        <v>23</v>
      </c>
      <c r="O2" s="15" t="s">
        <v>24</v>
      </c>
      <c r="P2" s="15" t="s">
        <v>25</v>
      </c>
      <c r="Q2" s="15" t="s">
        <v>165</v>
      </c>
    </row>
    <row r="3" spans="1:18" x14ac:dyDescent="0.25">
      <c r="A3" s="16"/>
      <c r="B3" s="16" t="s">
        <v>26</v>
      </c>
      <c r="C3" s="16" t="s">
        <v>614</v>
      </c>
      <c r="D3" s="16" t="s">
        <v>615</v>
      </c>
      <c r="E3" s="16" t="s">
        <v>616</v>
      </c>
      <c r="F3" s="16" t="s">
        <v>51</v>
      </c>
      <c r="G3" s="17">
        <v>0</v>
      </c>
      <c r="H3" s="17">
        <v>30</v>
      </c>
      <c r="I3" s="17">
        <f t="shared" ref="I3:I35" si="0">G3-H3</f>
        <v>-30</v>
      </c>
      <c r="J3" s="16" t="s">
        <v>617</v>
      </c>
      <c r="K3" s="16" t="s">
        <v>32</v>
      </c>
      <c r="L3" s="16" t="s">
        <v>618</v>
      </c>
      <c r="M3" s="16"/>
      <c r="N3" s="16"/>
      <c r="O3" s="16"/>
      <c r="P3" s="16"/>
      <c r="Q3" s="16">
        <v>1</v>
      </c>
      <c r="R3" s="10">
        <f>H3</f>
        <v>30</v>
      </c>
    </row>
    <row r="4" spans="1:18" x14ac:dyDescent="0.25">
      <c r="A4" s="16"/>
      <c r="B4" s="16" t="s">
        <v>26</v>
      </c>
      <c r="C4" s="16" t="s">
        <v>619</v>
      </c>
      <c r="D4" s="16" t="s">
        <v>620</v>
      </c>
      <c r="E4" s="16" t="s">
        <v>621</v>
      </c>
      <c r="F4" s="17">
        <v>6</v>
      </c>
      <c r="G4" s="17">
        <v>715</v>
      </c>
      <c r="H4" s="17">
        <v>25</v>
      </c>
      <c r="I4" s="17">
        <f t="shared" si="0"/>
        <v>690</v>
      </c>
      <c r="J4" s="16" t="s">
        <v>617</v>
      </c>
      <c r="K4" s="16" t="s">
        <v>32</v>
      </c>
      <c r="L4" s="16" t="s">
        <v>618</v>
      </c>
      <c r="M4" s="16"/>
      <c r="N4" s="16"/>
      <c r="O4" s="16"/>
      <c r="P4" s="16"/>
      <c r="Q4" s="16">
        <v>1</v>
      </c>
    </row>
    <row r="5" spans="1:18" x14ac:dyDescent="0.25">
      <c r="A5" s="16"/>
      <c r="B5" s="16" t="s">
        <v>26</v>
      </c>
      <c r="C5" s="16" t="s">
        <v>622</v>
      </c>
      <c r="D5" s="16" t="s">
        <v>623</v>
      </c>
      <c r="E5" s="16" t="s">
        <v>624</v>
      </c>
      <c r="F5" s="17">
        <v>6</v>
      </c>
      <c r="G5" s="17">
        <v>0</v>
      </c>
      <c r="H5" s="17">
        <v>25</v>
      </c>
      <c r="I5" s="17">
        <f t="shared" si="0"/>
        <v>-25</v>
      </c>
      <c r="J5" s="16" t="s">
        <v>617</v>
      </c>
      <c r="K5" s="16" t="s">
        <v>32</v>
      </c>
      <c r="L5" s="16" t="s">
        <v>618</v>
      </c>
      <c r="M5" s="16"/>
      <c r="N5" s="16"/>
      <c r="O5" s="16"/>
      <c r="P5" s="16"/>
      <c r="Q5" s="16">
        <v>1</v>
      </c>
      <c r="R5" s="10">
        <f>H5</f>
        <v>25</v>
      </c>
    </row>
    <row r="6" spans="1:18" x14ac:dyDescent="0.25">
      <c r="A6" s="16"/>
      <c r="B6" s="16" t="s">
        <v>26</v>
      </c>
      <c r="C6" s="16" t="s">
        <v>625</v>
      </c>
      <c r="D6" s="16" t="s">
        <v>626</v>
      </c>
      <c r="E6" s="16" t="s">
        <v>627</v>
      </c>
      <c r="F6" s="16" t="s">
        <v>51</v>
      </c>
      <c r="G6" s="17">
        <v>720</v>
      </c>
      <c r="H6" s="17">
        <v>30</v>
      </c>
      <c r="I6" s="17">
        <f t="shared" si="0"/>
        <v>690</v>
      </c>
      <c r="J6" s="16" t="s">
        <v>617</v>
      </c>
      <c r="K6" s="16" t="s">
        <v>32</v>
      </c>
      <c r="L6" s="16" t="s">
        <v>618</v>
      </c>
      <c r="M6" s="16"/>
      <c r="N6" s="16"/>
      <c r="O6" s="16"/>
      <c r="P6" s="16"/>
      <c r="Q6" s="16">
        <v>1</v>
      </c>
    </row>
    <row r="7" spans="1:18" x14ac:dyDescent="0.25">
      <c r="A7" s="16"/>
      <c r="B7" s="16" t="s">
        <v>26</v>
      </c>
      <c r="C7" s="16" t="s">
        <v>628</v>
      </c>
      <c r="D7" s="16" t="s">
        <v>629</v>
      </c>
      <c r="E7" s="16" t="s">
        <v>630</v>
      </c>
      <c r="F7" s="16" t="s">
        <v>51</v>
      </c>
      <c r="G7" s="17">
        <v>1520</v>
      </c>
      <c r="H7" s="17">
        <v>30</v>
      </c>
      <c r="I7" s="17">
        <f t="shared" si="0"/>
        <v>1490</v>
      </c>
      <c r="J7" s="16" t="s">
        <v>617</v>
      </c>
      <c r="K7" s="16" t="s">
        <v>32</v>
      </c>
      <c r="L7" s="16" t="s">
        <v>618</v>
      </c>
      <c r="M7" s="16"/>
      <c r="N7" s="16"/>
      <c r="O7" s="16"/>
      <c r="P7" s="16"/>
      <c r="Q7" s="16">
        <v>1</v>
      </c>
    </row>
    <row r="8" spans="1:18" x14ac:dyDescent="0.25">
      <c r="A8" s="16"/>
      <c r="B8" s="16" t="s">
        <v>26</v>
      </c>
      <c r="C8" s="16" t="s">
        <v>631</v>
      </c>
      <c r="D8" s="16" t="s">
        <v>632</v>
      </c>
      <c r="E8" s="16" t="s">
        <v>633</v>
      </c>
      <c r="F8" s="17">
        <v>6</v>
      </c>
      <c r="G8" s="17">
        <v>1235</v>
      </c>
      <c r="H8" s="17">
        <v>25</v>
      </c>
      <c r="I8" s="17">
        <f t="shared" si="0"/>
        <v>1210</v>
      </c>
      <c r="J8" s="16" t="s">
        <v>617</v>
      </c>
      <c r="K8" s="16" t="s">
        <v>32</v>
      </c>
      <c r="L8" s="16" t="s">
        <v>618</v>
      </c>
      <c r="M8" s="16"/>
      <c r="N8" s="16"/>
      <c r="O8" s="16"/>
      <c r="P8" s="16"/>
      <c r="Q8" s="16">
        <v>1</v>
      </c>
    </row>
    <row r="9" spans="1:18" x14ac:dyDescent="0.25">
      <c r="A9" s="16"/>
      <c r="B9" s="16" t="s">
        <v>26</v>
      </c>
      <c r="C9" s="16" t="s">
        <v>634</v>
      </c>
      <c r="D9" s="16" t="s">
        <v>635</v>
      </c>
      <c r="E9" s="16" t="s">
        <v>636</v>
      </c>
      <c r="F9" s="17">
        <v>6</v>
      </c>
      <c r="G9" s="17">
        <v>885</v>
      </c>
      <c r="H9" s="17">
        <v>25</v>
      </c>
      <c r="I9" s="17">
        <f t="shared" si="0"/>
        <v>860</v>
      </c>
      <c r="J9" s="16" t="s">
        <v>617</v>
      </c>
      <c r="K9" s="16" t="s">
        <v>32</v>
      </c>
      <c r="L9" s="16" t="s">
        <v>618</v>
      </c>
      <c r="M9" s="16"/>
      <c r="N9" s="16"/>
      <c r="O9" s="16"/>
      <c r="P9" s="16"/>
      <c r="Q9" s="16">
        <v>1</v>
      </c>
    </row>
    <row r="10" spans="1:18" x14ac:dyDescent="0.25">
      <c r="A10" s="16"/>
      <c r="B10" s="16" t="s">
        <v>26</v>
      </c>
      <c r="C10" s="16" t="s">
        <v>637</v>
      </c>
      <c r="D10" s="16" t="s">
        <v>638</v>
      </c>
      <c r="E10" s="16" t="s">
        <v>639</v>
      </c>
      <c r="F10" s="16" t="s">
        <v>51</v>
      </c>
      <c r="G10" s="17">
        <v>940</v>
      </c>
      <c r="H10" s="17">
        <v>30</v>
      </c>
      <c r="I10" s="17">
        <f t="shared" si="0"/>
        <v>910</v>
      </c>
      <c r="J10" s="16" t="s">
        <v>617</v>
      </c>
      <c r="K10" s="16" t="s">
        <v>32</v>
      </c>
      <c r="L10" s="16" t="s">
        <v>618</v>
      </c>
      <c r="M10" s="16"/>
      <c r="N10" s="16"/>
      <c r="O10" s="16"/>
      <c r="P10" s="16"/>
      <c r="Q10" s="16">
        <v>1</v>
      </c>
    </row>
    <row r="11" spans="1:18" x14ac:dyDescent="0.25">
      <c r="A11" s="16"/>
      <c r="B11" s="16" t="s">
        <v>26</v>
      </c>
      <c r="C11" s="16" t="s">
        <v>640</v>
      </c>
      <c r="D11" s="16" t="s">
        <v>641</v>
      </c>
      <c r="E11" s="16" t="s">
        <v>642</v>
      </c>
      <c r="F11" s="17">
        <v>2</v>
      </c>
      <c r="G11" s="17">
        <v>0</v>
      </c>
      <c r="H11" s="17">
        <v>30</v>
      </c>
      <c r="I11" s="17">
        <f t="shared" si="0"/>
        <v>-30</v>
      </c>
      <c r="J11" s="16" t="s">
        <v>32</v>
      </c>
      <c r="K11" s="16" t="s">
        <v>32</v>
      </c>
      <c r="L11" s="16" t="s">
        <v>618</v>
      </c>
      <c r="M11" s="16"/>
      <c r="N11" s="16"/>
      <c r="O11" s="16"/>
      <c r="P11" s="16"/>
      <c r="Q11" s="16">
        <v>1</v>
      </c>
      <c r="R11" s="10">
        <f>H11</f>
        <v>30</v>
      </c>
    </row>
    <row r="12" spans="1:18" x14ac:dyDescent="0.25">
      <c r="A12" s="16"/>
      <c r="B12" s="16" t="s">
        <v>26</v>
      </c>
      <c r="C12" s="16" t="s">
        <v>643</v>
      </c>
      <c r="D12" s="16" t="s">
        <v>644</v>
      </c>
      <c r="E12" s="16" t="s">
        <v>645</v>
      </c>
      <c r="F12" s="17">
        <v>2</v>
      </c>
      <c r="G12" s="17">
        <v>1260</v>
      </c>
      <c r="H12" s="17">
        <v>30</v>
      </c>
      <c r="I12" s="17">
        <f t="shared" si="0"/>
        <v>1230</v>
      </c>
      <c r="J12" s="16" t="s">
        <v>32</v>
      </c>
      <c r="K12" s="16" t="s">
        <v>32</v>
      </c>
      <c r="L12" s="16" t="s">
        <v>618</v>
      </c>
      <c r="M12" s="16"/>
      <c r="N12" s="16"/>
      <c r="O12" s="16"/>
      <c r="P12" s="16"/>
      <c r="Q12" s="16">
        <v>1</v>
      </c>
    </row>
    <row r="13" spans="1:18" x14ac:dyDescent="0.25">
      <c r="A13" s="16"/>
      <c r="B13" s="16" t="s">
        <v>26</v>
      </c>
      <c r="C13" s="16" t="s">
        <v>646</v>
      </c>
      <c r="D13" s="16" t="s">
        <v>647</v>
      </c>
      <c r="E13" s="16" t="s">
        <v>648</v>
      </c>
      <c r="F13" s="16" t="s">
        <v>82</v>
      </c>
      <c r="G13" s="17">
        <v>515</v>
      </c>
      <c r="H13" s="17">
        <v>25</v>
      </c>
      <c r="I13" s="17">
        <f t="shared" si="0"/>
        <v>490</v>
      </c>
      <c r="J13" s="16" t="s">
        <v>32</v>
      </c>
      <c r="K13" s="16" t="s">
        <v>32</v>
      </c>
      <c r="L13" s="16" t="s">
        <v>618</v>
      </c>
      <c r="M13" s="16"/>
      <c r="N13" s="16"/>
      <c r="O13" s="16"/>
      <c r="P13" s="16"/>
      <c r="Q13" s="16">
        <v>1</v>
      </c>
    </row>
    <row r="14" spans="1:18" x14ac:dyDescent="0.25">
      <c r="A14" s="16"/>
      <c r="B14" s="16" t="s">
        <v>26</v>
      </c>
      <c r="C14" s="16" t="s">
        <v>649</v>
      </c>
      <c r="D14" s="16" t="s">
        <v>650</v>
      </c>
      <c r="E14" s="16" t="s">
        <v>651</v>
      </c>
      <c r="F14" s="16" t="s">
        <v>75</v>
      </c>
      <c r="G14" s="17">
        <v>870</v>
      </c>
      <c r="H14" s="17">
        <v>20</v>
      </c>
      <c r="I14" s="17">
        <f t="shared" si="0"/>
        <v>850</v>
      </c>
      <c r="J14" s="16" t="s">
        <v>32</v>
      </c>
      <c r="K14" s="16" t="s">
        <v>32</v>
      </c>
      <c r="L14" s="16" t="s">
        <v>618</v>
      </c>
      <c r="M14" s="16"/>
      <c r="N14" s="16"/>
      <c r="O14" s="16"/>
      <c r="P14" s="16"/>
      <c r="Q14" s="16">
        <v>1</v>
      </c>
    </row>
    <row r="15" spans="1:18" x14ac:dyDescent="0.25">
      <c r="A15" s="16"/>
      <c r="B15" s="16" t="s">
        <v>26</v>
      </c>
      <c r="C15" s="16" t="s">
        <v>652</v>
      </c>
      <c r="D15" s="16" t="s">
        <v>653</v>
      </c>
      <c r="E15" s="16" t="s">
        <v>654</v>
      </c>
      <c r="F15" s="16" t="s">
        <v>82</v>
      </c>
      <c r="G15" s="17">
        <v>885</v>
      </c>
      <c r="H15" s="17">
        <v>25</v>
      </c>
      <c r="I15" s="17">
        <f t="shared" si="0"/>
        <v>860</v>
      </c>
      <c r="J15" s="16" t="s">
        <v>32</v>
      </c>
      <c r="K15" s="16" t="s">
        <v>32</v>
      </c>
      <c r="L15" s="16" t="s">
        <v>618</v>
      </c>
      <c r="M15" s="16"/>
      <c r="N15" s="16"/>
      <c r="O15" s="16"/>
      <c r="P15" s="16"/>
      <c r="Q15" s="16">
        <v>1</v>
      </c>
    </row>
    <row r="16" spans="1:18" x14ac:dyDescent="0.25">
      <c r="A16" s="16"/>
      <c r="B16" s="16" t="s">
        <v>26</v>
      </c>
      <c r="C16" s="16" t="s">
        <v>462</v>
      </c>
      <c r="D16" s="16" t="s">
        <v>655</v>
      </c>
      <c r="E16" s="16" t="s">
        <v>656</v>
      </c>
      <c r="F16" s="17">
        <v>9</v>
      </c>
      <c r="G16" s="17">
        <v>890</v>
      </c>
      <c r="H16" s="17">
        <v>30</v>
      </c>
      <c r="I16" s="17">
        <f t="shared" si="0"/>
        <v>860</v>
      </c>
      <c r="J16" s="16" t="s">
        <v>32</v>
      </c>
      <c r="K16" s="16" t="s">
        <v>32</v>
      </c>
      <c r="L16" s="16" t="s">
        <v>618</v>
      </c>
      <c r="M16" s="16"/>
      <c r="N16" s="16"/>
      <c r="O16" s="16"/>
      <c r="P16" s="16"/>
      <c r="Q16" s="16">
        <v>1</v>
      </c>
    </row>
    <row r="17" spans="1:18" x14ac:dyDescent="0.25">
      <c r="A17" s="16"/>
      <c r="B17" s="16" t="s">
        <v>26</v>
      </c>
      <c r="C17" s="16" t="s">
        <v>657</v>
      </c>
      <c r="D17" s="16" t="s">
        <v>658</v>
      </c>
      <c r="E17" s="16" t="s">
        <v>659</v>
      </c>
      <c r="F17" s="16" t="s">
        <v>93</v>
      </c>
      <c r="G17" s="17">
        <v>0</v>
      </c>
      <c r="H17" s="17">
        <v>25</v>
      </c>
      <c r="I17" s="17">
        <f t="shared" si="0"/>
        <v>-25</v>
      </c>
      <c r="J17" s="16" t="s">
        <v>32</v>
      </c>
      <c r="K17" s="16" t="s">
        <v>32</v>
      </c>
      <c r="L17" s="16" t="s">
        <v>618</v>
      </c>
      <c r="M17" s="16"/>
      <c r="N17" s="16"/>
      <c r="O17" s="16"/>
      <c r="P17" s="16"/>
      <c r="Q17" s="16">
        <v>1</v>
      </c>
      <c r="R17" s="10">
        <f>H17</f>
        <v>25</v>
      </c>
    </row>
    <row r="18" spans="1:18" x14ac:dyDescent="0.25">
      <c r="A18" s="16"/>
      <c r="B18" s="16" t="s">
        <v>26</v>
      </c>
      <c r="C18" s="16" t="s">
        <v>660</v>
      </c>
      <c r="D18" s="16" t="s">
        <v>661</v>
      </c>
      <c r="E18" s="16" t="s">
        <v>662</v>
      </c>
      <c r="F18" s="17">
        <v>9</v>
      </c>
      <c r="G18" s="17">
        <v>550</v>
      </c>
      <c r="H18" s="17">
        <v>30</v>
      </c>
      <c r="I18" s="17">
        <f t="shared" si="0"/>
        <v>520</v>
      </c>
      <c r="J18" s="16" t="s">
        <v>32</v>
      </c>
      <c r="K18" s="16" t="s">
        <v>32</v>
      </c>
      <c r="L18" s="16" t="s">
        <v>618</v>
      </c>
      <c r="M18" s="16"/>
      <c r="N18" s="16"/>
      <c r="O18" s="16"/>
      <c r="P18" s="16"/>
      <c r="Q18" s="16">
        <v>1</v>
      </c>
    </row>
    <row r="19" spans="1:18" x14ac:dyDescent="0.25">
      <c r="A19" s="16" t="s">
        <v>141</v>
      </c>
      <c r="B19" s="16" t="s">
        <v>26</v>
      </c>
      <c r="C19" s="16" t="s">
        <v>663</v>
      </c>
      <c r="D19" s="16"/>
      <c r="E19" s="16" t="s">
        <v>664</v>
      </c>
      <c r="F19" s="16" t="s">
        <v>93</v>
      </c>
      <c r="G19" s="17">
        <v>0</v>
      </c>
      <c r="H19" s="17">
        <v>35</v>
      </c>
      <c r="I19" s="17">
        <f t="shared" si="0"/>
        <v>-35</v>
      </c>
      <c r="J19" s="16" t="s">
        <v>32</v>
      </c>
      <c r="K19" s="16" t="s">
        <v>32</v>
      </c>
      <c r="L19" s="16" t="s">
        <v>618</v>
      </c>
      <c r="M19" s="16"/>
      <c r="N19" s="16"/>
      <c r="O19" s="16"/>
      <c r="P19" s="16"/>
      <c r="Q19" s="16">
        <v>1</v>
      </c>
      <c r="R19" s="10">
        <f>H19</f>
        <v>35</v>
      </c>
    </row>
    <row r="20" spans="1:18" x14ac:dyDescent="0.25">
      <c r="A20" s="16"/>
      <c r="B20" s="16" t="s">
        <v>26</v>
      </c>
      <c r="C20" s="16" t="s">
        <v>665</v>
      </c>
      <c r="D20" s="16" t="s">
        <v>666</v>
      </c>
      <c r="E20" s="16" t="s">
        <v>667</v>
      </c>
      <c r="F20" s="17">
        <v>4</v>
      </c>
      <c r="G20" s="17">
        <v>605</v>
      </c>
      <c r="H20" s="17">
        <v>25</v>
      </c>
      <c r="I20" s="17">
        <f t="shared" si="0"/>
        <v>580</v>
      </c>
      <c r="J20" s="16" t="s">
        <v>103</v>
      </c>
      <c r="K20" s="16" t="s">
        <v>32</v>
      </c>
      <c r="L20" s="16" t="s">
        <v>618</v>
      </c>
      <c r="M20" s="16"/>
      <c r="N20" s="16"/>
      <c r="O20" s="16"/>
      <c r="P20" s="16"/>
      <c r="Q20" s="16">
        <v>1</v>
      </c>
    </row>
    <row r="21" spans="1:18" x14ac:dyDescent="0.25">
      <c r="A21" s="16"/>
      <c r="B21" s="16" t="s">
        <v>26</v>
      </c>
      <c r="C21" s="16" t="s">
        <v>668</v>
      </c>
      <c r="D21" s="16" t="s">
        <v>669</v>
      </c>
      <c r="E21" s="16" t="s">
        <v>670</v>
      </c>
      <c r="F21" s="17">
        <v>3</v>
      </c>
      <c r="G21" s="17">
        <v>0</v>
      </c>
      <c r="H21" s="17">
        <v>25</v>
      </c>
      <c r="I21" s="17">
        <f t="shared" si="0"/>
        <v>-25</v>
      </c>
      <c r="J21" s="16" t="s">
        <v>103</v>
      </c>
      <c r="K21" s="16" t="s">
        <v>32</v>
      </c>
      <c r="L21" s="16" t="s">
        <v>618</v>
      </c>
      <c r="M21" s="18" t="s">
        <v>671</v>
      </c>
      <c r="N21" s="16"/>
      <c r="O21" s="16"/>
      <c r="P21" s="16"/>
      <c r="Q21" s="16">
        <v>1</v>
      </c>
      <c r="R21" s="10">
        <f>H21</f>
        <v>25</v>
      </c>
    </row>
    <row r="22" spans="1:18" x14ac:dyDescent="0.25">
      <c r="A22" s="16"/>
      <c r="B22" s="16" t="s">
        <v>26</v>
      </c>
      <c r="C22" s="16" t="s">
        <v>672</v>
      </c>
      <c r="D22" s="16" t="s">
        <v>673</v>
      </c>
      <c r="E22" s="16" t="s">
        <v>674</v>
      </c>
      <c r="F22" s="16" t="s">
        <v>40</v>
      </c>
      <c r="G22" s="17">
        <v>895</v>
      </c>
      <c r="H22" s="17">
        <v>35</v>
      </c>
      <c r="I22" s="17">
        <f t="shared" si="0"/>
        <v>860</v>
      </c>
      <c r="J22" s="16" t="s">
        <v>103</v>
      </c>
      <c r="K22" s="16" t="s">
        <v>32</v>
      </c>
      <c r="L22" s="16" t="s">
        <v>618</v>
      </c>
      <c r="M22" s="16"/>
      <c r="N22" s="16"/>
      <c r="O22" s="16"/>
      <c r="P22" s="16"/>
      <c r="Q22" s="16">
        <v>1</v>
      </c>
    </row>
    <row r="23" spans="1:18" x14ac:dyDescent="0.25">
      <c r="A23" s="16"/>
      <c r="B23" s="16" t="s">
        <v>26</v>
      </c>
      <c r="C23" s="16" t="s">
        <v>675</v>
      </c>
      <c r="D23" s="16" t="s">
        <v>676</v>
      </c>
      <c r="E23" s="16" t="s">
        <v>677</v>
      </c>
      <c r="F23" s="17">
        <v>1</v>
      </c>
      <c r="G23" s="17">
        <v>0</v>
      </c>
      <c r="H23" s="17">
        <v>25</v>
      </c>
      <c r="I23" s="17">
        <f t="shared" si="0"/>
        <v>-25</v>
      </c>
      <c r="J23" s="16" t="s">
        <v>103</v>
      </c>
      <c r="K23" s="16" t="s">
        <v>32</v>
      </c>
      <c r="L23" s="16" t="s">
        <v>618</v>
      </c>
      <c r="M23" s="16"/>
      <c r="N23" s="16"/>
      <c r="O23" s="16"/>
      <c r="P23" s="16"/>
      <c r="Q23" s="16">
        <v>1</v>
      </c>
      <c r="R23" s="10">
        <f>H23</f>
        <v>25</v>
      </c>
    </row>
    <row r="24" spans="1:18" x14ac:dyDescent="0.25">
      <c r="A24" s="16"/>
      <c r="B24" s="16" t="s">
        <v>26</v>
      </c>
      <c r="C24" s="16" t="s">
        <v>678</v>
      </c>
      <c r="D24" s="16" t="s">
        <v>679</v>
      </c>
      <c r="E24" s="16" t="s">
        <v>680</v>
      </c>
      <c r="F24" s="17">
        <v>1</v>
      </c>
      <c r="G24" s="17">
        <v>845</v>
      </c>
      <c r="H24" s="17">
        <v>25</v>
      </c>
      <c r="I24" s="17">
        <f t="shared" si="0"/>
        <v>820</v>
      </c>
      <c r="J24" s="16" t="s">
        <v>103</v>
      </c>
      <c r="K24" s="16" t="s">
        <v>32</v>
      </c>
      <c r="L24" s="16" t="s">
        <v>618</v>
      </c>
      <c r="M24" s="16"/>
      <c r="N24" s="16"/>
      <c r="O24" s="16"/>
      <c r="P24" s="16"/>
      <c r="Q24" s="16">
        <v>1</v>
      </c>
    </row>
    <row r="25" spans="1:18" x14ac:dyDescent="0.25">
      <c r="A25" s="16"/>
      <c r="B25" s="16" t="s">
        <v>26</v>
      </c>
      <c r="C25" s="16" t="s">
        <v>681</v>
      </c>
      <c r="D25" s="16" t="s">
        <v>682</v>
      </c>
      <c r="E25" s="16" t="s">
        <v>683</v>
      </c>
      <c r="F25" s="17">
        <v>7</v>
      </c>
      <c r="G25" s="17">
        <v>1460</v>
      </c>
      <c r="H25" s="17">
        <v>30</v>
      </c>
      <c r="I25" s="17">
        <f t="shared" si="0"/>
        <v>1430</v>
      </c>
      <c r="J25" s="16" t="s">
        <v>103</v>
      </c>
      <c r="K25" s="16" t="s">
        <v>32</v>
      </c>
      <c r="L25" s="16" t="s">
        <v>618</v>
      </c>
      <c r="M25" s="16"/>
      <c r="N25" s="16"/>
      <c r="O25" s="16"/>
      <c r="P25" s="16"/>
      <c r="Q25" s="16">
        <v>1</v>
      </c>
    </row>
    <row r="26" spans="1:18" x14ac:dyDescent="0.25">
      <c r="A26" s="16"/>
      <c r="B26" s="16" t="s">
        <v>26</v>
      </c>
      <c r="C26" s="16" t="s">
        <v>684</v>
      </c>
      <c r="D26" s="16" t="s">
        <v>685</v>
      </c>
      <c r="E26" s="16" t="s">
        <v>686</v>
      </c>
      <c r="F26" s="17">
        <v>4</v>
      </c>
      <c r="G26" s="17">
        <v>665</v>
      </c>
      <c r="H26" s="17">
        <v>25</v>
      </c>
      <c r="I26" s="17">
        <f t="shared" si="0"/>
        <v>640</v>
      </c>
      <c r="J26" s="16" t="s">
        <v>103</v>
      </c>
      <c r="K26" s="16" t="s">
        <v>32</v>
      </c>
      <c r="L26" s="16" t="s">
        <v>618</v>
      </c>
      <c r="M26" s="16"/>
      <c r="N26" s="16"/>
      <c r="O26" s="16"/>
      <c r="P26" s="16"/>
      <c r="Q26" s="16">
        <v>1</v>
      </c>
    </row>
    <row r="27" spans="1:18" x14ac:dyDescent="0.25">
      <c r="A27" s="16"/>
      <c r="B27" s="16" t="s">
        <v>26</v>
      </c>
      <c r="C27" s="16" t="s">
        <v>687</v>
      </c>
      <c r="D27" s="16" t="s">
        <v>688</v>
      </c>
      <c r="E27" s="16" t="s">
        <v>689</v>
      </c>
      <c r="F27" s="17">
        <v>1</v>
      </c>
      <c r="G27" s="17">
        <v>0</v>
      </c>
      <c r="H27" s="17">
        <v>25</v>
      </c>
      <c r="I27" s="17">
        <f t="shared" si="0"/>
        <v>-25</v>
      </c>
      <c r="J27" s="16" t="s">
        <v>103</v>
      </c>
      <c r="K27" s="16" t="s">
        <v>32</v>
      </c>
      <c r="L27" s="16" t="s">
        <v>618</v>
      </c>
      <c r="M27" s="16"/>
      <c r="N27" s="16"/>
      <c r="O27" s="16"/>
      <c r="P27" s="16"/>
      <c r="Q27" s="16">
        <v>1</v>
      </c>
      <c r="R27" s="10">
        <f>H27</f>
        <v>25</v>
      </c>
    </row>
    <row r="28" spans="1:18" x14ac:dyDescent="0.25">
      <c r="A28" s="16"/>
      <c r="B28" s="16" t="s">
        <v>26</v>
      </c>
      <c r="C28" s="16" t="s">
        <v>690</v>
      </c>
      <c r="D28" s="16" t="s">
        <v>691</v>
      </c>
      <c r="E28" s="16" t="s">
        <v>692</v>
      </c>
      <c r="F28" s="17">
        <v>10</v>
      </c>
      <c r="G28" s="17">
        <v>1735</v>
      </c>
      <c r="H28" s="17">
        <v>25</v>
      </c>
      <c r="I28" s="17">
        <f t="shared" si="0"/>
        <v>1710</v>
      </c>
      <c r="J28" s="16" t="s">
        <v>103</v>
      </c>
      <c r="K28" s="16" t="s">
        <v>32</v>
      </c>
      <c r="L28" s="16" t="s">
        <v>618</v>
      </c>
      <c r="M28" s="16"/>
      <c r="N28" s="16"/>
      <c r="O28" s="16"/>
      <c r="P28" s="16"/>
      <c r="Q28" s="16">
        <v>1</v>
      </c>
    </row>
    <row r="29" spans="1:18" x14ac:dyDescent="0.25">
      <c r="A29" s="16"/>
      <c r="B29" s="16" t="s">
        <v>26</v>
      </c>
      <c r="C29" s="16" t="s">
        <v>693</v>
      </c>
      <c r="D29" s="16" t="s">
        <v>694</v>
      </c>
      <c r="E29" s="16" t="s">
        <v>695</v>
      </c>
      <c r="F29" s="16" t="s">
        <v>243</v>
      </c>
      <c r="G29" s="17">
        <v>975</v>
      </c>
      <c r="H29" s="17">
        <v>35</v>
      </c>
      <c r="I29" s="17">
        <f t="shared" si="0"/>
        <v>940</v>
      </c>
      <c r="J29" s="16" t="s">
        <v>103</v>
      </c>
      <c r="K29" s="16" t="s">
        <v>32</v>
      </c>
      <c r="L29" s="16" t="s">
        <v>618</v>
      </c>
      <c r="M29" s="16"/>
      <c r="N29" s="16"/>
      <c r="O29" s="16"/>
      <c r="P29" s="16"/>
      <c r="Q29" s="16">
        <v>1</v>
      </c>
    </row>
    <row r="30" spans="1:18" x14ac:dyDescent="0.25">
      <c r="A30" s="16"/>
      <c r="B30" s="16" t="s">
        <v>26</v>
      </c>
      <c r="C30" s="16" t="s">
        <v>696</v>
      </c>
      <c r="D30" s="16" t="s">
        <v>697</v>
      </c>
      <c r="E30" s="16" t="s">
        <v>698</v>
      </c>
      <c r="F30" s="16" t="s">
        <v>110</v>
      </c>
      <c r="G30" s="17">
        <v>880</v>
      </c>
      <c r="H30" s="17">
        <v>20</v>
      </c>
      <c r="I30" s="17">
        <f t="shared" si="0"/>
        <v>860</v>
      </c>
      <c r="J30" s="16" t="s">
        <v>103</v>
      </c>
      <c r="K30" s="16" t="s">
        <v>32</v>
      </c>
      <c r="L30" s="16" t="s">
        <v>618</v>
      </c>
      <c r="M30" s="16"/>
      <c r="N30" s="16"/>
      <c r="O30" s="16"/>
      <c r="P30" s="16"/>
      <c r="Q30" s="16">
        <v>1</v>
      </c>
    </row>
    <row r="31" spans="1:18" s="21" customFormat="1" x14ac:dyDescent="0.25">
      <c r="A31" s="19"/>
      <c r="B31" s="19" t="s">
        <v>26</v>
      </c>
      <c r="C31" s="19" t="s">
        <v>560</v>
      </c>
      <c r="D31" s="19" t="s">
        <v>699</v>
      </c>
      <c r="E31" s="19" t="s">
        <v>562</v>
      </c>
      <c r="F31" s="20">
        <v>4</v>
      </c>
      <c r="G31" s="20">
        <v>0</v>
      </c>
      <c r="H31" s="20">
        <v>25</v>
      </c>
      <c r="I31" s="20">
        <f t="shared" si="0"/>
        <v>-25</v>
      </c>
      <c r="J31" s="19" t="s">
        <v>103</v>
      </c>
      <c r="K31" s="19" t="s">
        <v>32</v>
      </c>
      <c r="L31" s="19" t="s">
        <v>618</v>
      </c>
      <c r="M31" s="19" t="s">
        <v>68</v>
      </c>
      <c r="N31" s="19"/>
      <c r="O31" s="19"/>
      <c r="P31" s="19"/>
      <c r="Q31" s="19">
        <v>1</v>
      </c>
      <c r="R31" s="22">
        <f>H31</f>
        <v>25</v>
      </c>
    </row>
    <row r="32" spans="1:18" x14ac:dyDescent="0.25">
      <c r="A32" s="16"/>
      <c r="B32" s="16" t="s">
        <v>26</v>
      </c>
      <c r="C32" s="16" t="s">
        <v>700</v>
      </c>
      <c r="D32" s="16" t="s">
        <v>701</v>
      </c>
      <c r="E32" s="16" t="s">
        <v>702</v>
      </c>
      <c r="F32" s="17">
        <v>10</v>
      </c>
      <c r="G32" s="17">
        <v>0</v>
      </c>
      <c r="H32" s="17">
        <v>25</v>
      </c>
      <c r="I32" s="17">
        <f t="shared" si="0"/>
        <v>-25</v>
      </c>
      <c r="J32" s="16" t="s">
        <v>103</v>
      </c>
      <c r="K32" s="16" t="s">
        <v>32</v>
      </c>
      <c r="L32" s="16" t="s">
        <v>618</v>
      </c>
      <c r="M32" s="16"/>
      <c r="N32" s="16"/>
      <c r="O32" s="16"/>
      <c r="P32" s="16"/>
      <c r="Q32" s="16">
        <v>1</v>
      </c>
      <c r="R32" s="10">
        <f>H32</f>
        <v>25</v>
      </c>
    </row>
    <row r="33" spans="1:18" x14ac:dyDescent="0.25">
      <c r="A33" s="16"/>
      <c r="B33" s="16" t="s">
        <v>26</v>
      </c>
      <c r="C33" s="16" t="s">
        <v>703</v>
      </c>
      <c r="D33" s="16" t="s">
        <v>704</v>
      </c>
      <c r="E33" s="16" t="s">
        <v>705</v>
      </c>
      <c r="F33" s="17">
        <v>1</v>
      </c>
      <c r="G33" s="17">
        <v>0</v>
      </c>
      <c r="H33" s="17">
        <v>25</v>
      </c>
      <c r="I33" s="17">
        <f t="shared" si="0"/>
        <v>-25</v>
      </c>
      <c r="J33" s="16" t="s">
        <v>103</v>
      </c>
      <c r="K33" s="16" t="s">
        <v>32</v>
      </c>
      <c r="L33" s="16" t="s">
        <v>618</v>
      </c>
      <c r="M33" s="16"/>
      <c r="N33" s="16"/>
      <c r="O33" s="16"/>
      <c r="P33" s="16"/>
      <c r="Q33" s="16">
        <v>1</v>
      </c>
      <c r="R33" s="10">
        <f>H33</f>
        <v>25</v>
      </c>
    </row>
    <row r="34" spans="1:18" s="2" customFormat="1" x14ac:dyDescent="0.25">
      <c r="A34" s="23"/>
      <c r="B34" s="23" t="s">
        <v>26</v>
      </c>
      <c r="C34" s="23" t="s">
        <v>183</v>
      </c>
      <c r="D34" s="23" t="s">
        <v>184</v>
      </c>
      <c r="E34" s="23" t="s">
        <v>185</v>
      </c>
      <c r="F34" s="23" t="s">
        <v>30</v>
      </c>
      <c r="G34" s="24">
        <v>745</v>
      </c>
      <c r="H34" s="24">
        <v>25</v>
      </c>
      <c r="I34" s="24">
        <f t="shared" si="0"/>
        <v>720</v>
      </c>
      <c r="J34" s="23" t="s">
        <v>269</v>
      </c>
      <c r="K34" s="23" t="s">
        <v>32</v>
      </c>
      <c r="L34" s="23" t="s">
        <v>170</v>
      </c>
      <c r="M34" s="23" t="s">
        <v>157</v>
      </c>
      <c r="N34" s="23" t="s">
        <v>271</v>
      </c>
      <c r="O34" s="23" t="s">
        <v>271</v>
      </c>
      <c r="P34" s="23" t="s">
        <v>272</v>
      </c>
      <c r="Q34" s="24">
        <v>1</v>
      </c>
    </row>
    <row r="35" spans="1:18" s="2" customFormat="1" x14ac:dyDescent="0.25">
      <c r="A35" s="23"/>
      <c r="B35" s="23" t="s">
        <v>26</v>
      </c>
      <c r="C35" s="23" t="s">
        <v>506</v>
      </c>
      <c r="D35" s="23" t="s">
        <v>507</v>
      </c>
      <c r="E35" s="23" t="s">
        <v>508</v>
      </c>
      <c r="F35" s="24">
        <v>12</v>
      </c>
      <c r="G35" s="24">
        <v>1000</v>
      </c>
      <c r="H35" s="24">
        <v>0</v>
      </c>
      <c r="I35" s="24">
        <f t="shared" si="0"/>
        <v>1000</v>
      </c>
      <c r="J35" s="23" t="s">
        <v>269</v>
      </c>
      <c r="K35" s="23" t="s">
        <v>32</v>
      </c>
      <c r="L35" s="23" t="s">
        <v>461</v>
      </c>
      <c r="M35" s="23" t="s">
        <v>157</v>
      </c>
      <c r="N35" s="23" t="s">
        <v>271</v>
      </c>
      <c r="O35" s="23" t="s">
        <v>271</v>
      </c>
      <c r="P35" s="23" t="s">
        <v>272</v>
      </c>
      <c r="Q35" s="24">
        <v>1</v>
      </c>
    </row>
    <row r="37" spans="1:18" x14ac:dyDescent="0.25">
      <c r="D37" s="1">
        <f>COUNTA(D3:D35)</f>
        <v>32</v>
      </c>
      <c r="G37" s="1">
        <f t="shared" ref="G37:Q37" si="1">SUBTOTAL(9,G3:G35)</f>
        <v>20790</v>
      </c>
      <c r="H37" s="1">
        <f t="shared" si="1"/>
        <v>865</v>
      </c>
      <c r="I37" s="1">
        <f t="shared" si="1"/>
        <v>19925</v>
      </c>
      <c r="J37" s="1">
        <f t="shared" si="1"/>
        <v>0</v>
      </c>
      <c r="K37" s="1">
        <f t="shared" si="1"/>
        <v>0</v>
      </c>
      <c r="L37" s="1">
        <f t="shared" si="1"/>
        <v>0</v>
      </c>
      <c r="M37" s="1">
        <f t="shared" si="1"/>
        <v>0</v>
      </c>
      <c r="N37" s="1">
        <f t="shared" si="1"/>
        <v>0</v>
      </c>
      <c r="O37" s="1">
        <f t="shared" si="1"/>
        <v>0</v>
      </c>
      <c r="P37" s="1">
        <f t="shared" si="1"/>
        <v>0</v>
      </c>
      <c r="Q37" s="1">
        <f t="shared" si="1"/>
        <v>33</v>
      </c>
    </row>
    <row r="38" spans="1:18" x14ac:dyDescent="0.25">
      <c r="H38">
        <f>-4*17</f>
        <v>-68</v>
      </c>
      <c r="I38">
        <v>17</v>
      </c>
    </row>
    <row r="39" spans="1:18" x14ac:dyDescent="0.25">
      <c r="A39" s="1" t="s">
        <v>26</v>
      </c>
      <c r="C39" s="34" t="s">
        <v>144</v>
      </c>
      <c r="D39" s="34"/>
      <c r="E39" s="4" t="s">
        <v>145</v>
      </c>
      <c r="H39">
        <f>-4*25</f>
        <v>-100</v>
      </c>
      <c r="K39" s="11" t="s">
        <v>103</v>
      </c>
      <c r="L39" s="11" t="s">
        <v>146</v>
      </c>
      <c r="M39" s="11" t="s">
        <v>145</v>
      </c>
      <c r="O39" s="4" t="s">
        <v>147</v>
      </c>
    </row>
    <row r="40" spans="1:18" x14ac:dyDescent="0.25">
      <c r="A40" t="s">
        <v>618</v>
      </c>
      <c r="B40" s="3" t="s">
        <v>148</v>
      </c>
      <c r="C40" s="35">
        <f>SUMIFS(I$3:I$35,B$3:B$35,A$39,L$3:L$35,A$40)</f>
        <v>18205</v>
      </c>
      <c r="D40" s="35"/>
      <c r="E40" s="3">
        <f>SUMIFS(Q$3:Q$35,B$3:B$35,A$39,L$3:L$35,A$40)</f>
        <v>31</v>
      </c>
      <c r="F40" t="s">
        <v>149</v>
      </c>
      <c r="K40" t="s">
        <v>150</v>
      </c>
      <c r="L40">
        <f>SUMIFS(G$3:G$35,J$3:J$35,K$39)</f>
        <v>8060</v>
      </c>
      <c r="M40">
        <f>SUMIFS(Q$3:Q$35,J$3:J$35,K$39)-INT(COUNTIFS(J$3:J$35,K$39,M$3:M$35,"*gộp*")/2)</f>
        <v>14</v>
      </c>
      <c r="O40" t="s">
        <v>103</v>
      </c>
      <c r="P40">
        <f>L45</f>
        <v>7760</v>
      </c>
    </row>
    <row r="41" spans="1:18" x14ac:dyDescent="0.25">
      <c r="B41" s="2" t="s">
        <v>152</v>
      </c>
      <c r="C41" s="36">
        <v>0</v>
      </c>
      <c r="D41" s="36"/>
      <c r="K41" t="s">
        <v>153</v>
      </c>
      <c r="L41">
        <f>-SUMIFS(H$3:H$35,J$3:J$35,K$39)+M41*5</f>
        <v>-300</v>
      </c>
      <c r="M41">
        <f>SUMIFS(Q$3:Q$35,J$3:J$35,K$39)-INT(COUNTIFS(J$3:J$35,K$39,M$3:M$35,"*gộp*")/2)</f>
        <v>14</v>
      </c>
      <c r="O41" t="s">
        <v>32</v>
      </c>
      <c r="P41">
        <f>L53</f>
        <v>3707</v>
      </c>
    </row>
    <row r="42" spans="1:18" x14ac:dyDescent="0.25">
      <c r="B42" s="2" t="s">
        <v>154</v>
      </c>
      <c r="C42" s="36">
        <f>-SUMIFS(I$3:I$35,B$3:B$35,A$39,P$3:P$35,"xx",N$3:N$35,"x")</f>
        <v>-1720</v>
      </c>
      <c r="D42" s="36"/>
      <c r="E42" s="2">
        <f>SUMIFS(Q$3:Q$35,B$3:B$35,A$39,P$3:P$35,"xx",N$3:N$35,"x")</f>
        <v>2</v>
      </c>
      <c r="K42" t="s">
        <v>155</v>
      </c>
      <c r="O42" t="s">
        <v>706</v>
      </c>
      <c r="P42">
        <f>L61</f>
        <v>5110</v>
      </c>
    </row>
    <row r="43" spans="1:18" x14ac:dyDescent="0.25">
      <c r="B43" s="4" t="s">
        <v>156</v>
      </c>
      <c r="C43" s="34">
        <f>SUBTOTAL(9,C40:C42)</f>
        <v>16485</v>
      </c>
      <c r="D43" s="34"/>
      <c r="E43">
        <f>E40</f>
        <v>31</v>
      </c>
      <c r="K43" s="12" t="s">
        <v>157</v>
      </c>
      <c r="O43" t="s">
        <v>158</v>
      </c>
      <c r="P43">
        <f>-C47</f>
        <v>-16485</v>
      </c>
    </row>
    <row r="44" spans="1:18" x14ac:dyDescent="0.25">
      <c r="B44" s="2" t="s">
        <v>159</v>
      </c>
      <c r="C44" s="32"/>
      <c r="D44" s="32"/>
      <c r="K44" s="2" t="s">
        <v>160</v>
      </c>
      <c r="O44" s="4" t="s">
        <v>161</v>
      </c>
      <c r="P44" s="4">
        <f>SUBTOTAL(9,P40:P43)</f>
        <v>92</v>
      </c>
    </row>
    <row r="45" spans="1:18" x14ac:dyDescent="0.25">
      <c r="B45" s="13" t="s">
        <v>162</v>
      </c>
      <c r="C45" s="32"/>
      <c r="D45" s="32"/>
      <c r="L45" s="14">
        <f>SUBTOTAL(9,L40:L44)</f>
        <v>7760</v>
      </c>
      <c r="M45" s="14">
        <f>M40</f>
        <v>14</v>
      </c>
    </row>
    <row r="47" spans="1:18" x14ac:dyDescent="0.25">
      <c r="B47" s="1" t="s">
        <v>163</v>
      </c>
      <c r="C47" s="33">
        <f>C43+C44+C45</f>
        <v>16485</v>
      </c>
      <c r="D47" s="33"/>
      <c r="E47" s="1" t="s">
        <v>164</v>
      </c>
      <c r="K47" s="11" t="s">
        <v>32</v>
      </c>
      <c r="L47" s="11" t="s">
        <v>146</v>
      </c>
      <c r="M47" s="11" t="s">
        <v>145</v>
      </c>
    </row>
    <row r="48" spans="1:18" x14ac:dyDescent="0.25">
      <c r="K48" t="s">
        <v>150</v>
      </c>
      <c r="L48">
        <f>SUMIFS(G$3:G$35,J$3:J$35,K$47)</f>
        <v>4970</v>
      </c>
      <c r="M48">
        <f>SUMIFS(Q$3:Q$35,J$3:J$35,K$47)-INT(COUNTIFS(J$3:J$35,K$47,M$3:M$35,"*gộp*")/2)</f>
        <v>9</v>
      </c>
    </row>
    <row r="49" spans="11:13" x14ac:dyDescent="0.25">
      <c r="K49" t="s">
        <v>153</v>
      </c>
      <c r="L49">
        <f>-SUMIFS(H$3:H$35,J$3:J$35,K$47)+M49*5</f>
        <v>-205</v>
      </c>
      <c r="M49">
        <f>SUMIFS(Q$3:Q$35,J$3:J$35,K$47)-INT(COUNTIFS(J$3:J$35,K$47,M$3:M$35,"*gộp*")/2)</f>
        <v>9</v>
      </c>
    </row>
    <row r="50" spans="11:13" x14ac:dyDescent="0.25">
      <c r="K50" t="s">
        <v>155</v>
      </c>
      <c r="L50">
        <f>-M50*2</f>
        <v>-58</v>
      </c>
      <c r="M50">
        <f>E43-(COUNTIFS(M$3:M$35,"*gộp*")/2)-COUNTIFS(M$3:M$35,"*đơn trả*")-COUNTIFS(M$3:M$35,"*hàng tỉnh*")</f>
        <v>29</v>
      </c>
    </row>
    <row r="51" spans="11:13" x14ac:dyDescent="0.25">
      <c r="K51" s="12" t="s">
        <v>157</v>
      </c>
      <c r="L51" s="25">
        <v>-1000</v>
      </c>
      <c r="M51" s="25" t="s">
        <v>274</v>
      </c>
    </row>
    <row r="52" spans="11:13" x14ac:dyDescent="0.25">
      <c r="K52" s="2" t="s">
        <v>160</v>
      </c>
    </row>
    <row r="53" spans="11:13" x14ac:dyDescent="0.25">
      <c r="L53" s="14">
        <f>SUBTOTAL(9,L48:L52)</f>
        <v>3707</v>
      </c>
      <c r="M53" s="14">
        <f>M48</f>
        <v>9</v>
      </c>
    </row>
    <row r="55" spans="11:13" x14ac:dyDescent="0.25">
      <c r="K55" s="11" t="s">
        <v>617</v>
      </c>
      <c r="L55" s="11" t="s">
        <v>146</v>
      </c>
      <c r="M55" s="11" t="s">
        <v>145</v>
      </c>
    </row>
    <row r="56" spans="11:13" x14ac:dyDescent="0.25">
      <c r="K56" t="s">
        <v>150</v>
      </c>
      <c r="L56">
        <f>SUMIFS(G$3:G$35,J$3:J$35,K$55)</f>
        <v>6015</v>
      </c>
      <c r="M56">
        <f>SUMIFS(Q$3:Q$35,J$3:J$35,K$55)-INT(COUNTIFS(J$3:J$35,K$55,M$3:M$35,"*gộp*")/2)</f>
        <v>8</v>
      </c>
    </row>
    <row r="57" spans="11:13" x14ac:dyDescent="0.25">
      <c r="K57" t="s">
        <v>153</v>
      </c>
      <c r="L57">
        <f>SUM(H38:H39)</f>
        <v>-168</v>
      </c>
      <c r="M57">
        <f>SUMIFS(Q$3:Q$35,J$3:J$35,K$55)-INT(COUNTIFS(J$3:J$35,K$55,M$3:M$35,"*gộp*")/2)</f>
        <v>8</v>
      </c>
    </row>
    <row r="58" spans="11:13" x14ac:dyDescent="0.25">
      <c r="K58" t="s">
        <v>155</v>
      </c>
    </row>
    <row r="59" spans="11:13" x14ac:dyDescent="0.25">
      <c r="K59" s="12" t="s">
        <v>157</v>
      </c>
      <c r="L59" s="25">
        <v>-737</v>
      </c>
      <c r="M59" s="25" t="s">
        <v>274</v>
      </c>
    </row>
    <row r="60" spans="11:13" x14ac:dyDescent="0.25">
      <c r="K60" s="2" t="s">
        <v>160</v>
      </c>
    </row>
    <row r="61" spans="11:13" x14ac:dyDescent="0.25">
      <c r="L61" s="14">
        <f>SUBTOTAL(9,L56:L60)</f>
        <v>5110</v>
      </c>
      <c r="M61" s="14">
        <f>M56</f>
        <v>8</v>
      </c>
    </row>
  </sheetData>
  <autoFilter ref="A2:P35" xr:uid="{00000000-0009-0000-0000-000006000000}">
    <sortState xmlns:xlrd2="http://schemas.microsoft.com/office/spreadsheetml/2017/richdata2" ref="A3:P35">
      <sortCondition ref="J2:J35"/>
    </sortState>
  </autoFilter>
  <mergeCells count="8">
    <mergeCell ref="C44:D44"/>
    <mergeCell ref="C45:D45"/>
    <mergeCell ref="C47:D47"/>
    <mergeCell ref="C39:D39"/>
    <mergeCell ref="C40:D40"/>
    <mergeCell ref="C41:D41"/>
    <mergeCell ref="C42:D42"/>
    <mergeCell ref="C43:D43"/>
  </mergeCells>
  <pageMargins left="0.75" right="0.75" top="0.75" bottom="0.5" header="0.5" footer="0.7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R75"/>
  <sheetViews>
    <sheetView workbookViewId="0">
      <selection activeCell="R3" sqref="R3"/>
    </sheetView>
  </sheetViews>
  <sheetFormatPr defaultRowHeight="15" x14ac:dyDescent="0.25"/>
  <cols>
    <col min="1" max="1" width="12.7109375" customWidth="1"/>
    <col min="2" max="2" width="17.7109375" customWidth="1"/>
    <col min="3" max="3" width="31.28515625" customWidth="1"/>
    <col min="4" max="4" width="9.85546875" customWidth="1"/>
    <col min="5" max="5" width="61" customWidth="1"/>
    <col min="6" max="6" width="10.71093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0.42578125" customWidth="1"/>
    <col min="13" max="13" width="9.42578125" customWidth="1"/>
    <col min="14" max="14" width="9.7109375" customWidth="1"/>
    <col min="15" max="15" width="10.42578125" customWidth="1"/>
    <col min="16" max="16" width="7" bestFit="1" customWidth="1"/>
  </cols>
  <sheetData>
    <row r="2" spans="1:18" x14ac:dyDescent="0.25">
      <c r="A2" s="15" t="s">
        <v>10</v>
      </c>
      <c r="B2" s="15" t="s">
        <v>11</v>
      </c>
      <c r="C2" s="15" t="s">
        <v>12</v>
      </c>
      <c r="D2" s="15" t="s">
        <v>13</v>
      </c>
      <c r="E2" s="15" t="s">
        <v>14</v>
      </c>
      <c r="F2" s="15" t="s">
        <v>15</v>
      </c>
      <c r="G2" s="15" t="s">
        <v>16</v>
      </c>
      <c r="H2" s="15" t="s">
        <v>17</v>
      </c>
      <c r="I2" s="15" t="s">
        <v>18</v>
      </c>
      <c r="J2" s="15" t="s">
        <v>19</v>
      </c>
      <c r="K2" s="15" t="s">
        <v>20</v>
      </c>
      <c r="L2" s="15" t="s">
        <v>21</v>
      </c>
      <c r="M2" s="15" t="s">
        <v>22</v>
      </c>
      <c r="N2" s="15" t="s">
        <v>23</v>
      </c>
      <c r="O2" s="15" t="s">
        <v>24</v>
      </c>
      <c r="P2" s="15" t="s">
        <v>25</v>
      </c>
      <c r="Q2" s="16"/>
    </row>
    <row r="3" spans="1:18" x14ac:dyDescent="0.25">
      <c r="A3" s="16"/>
      <c r="B3" s="16" t="s">
        <v>26</v>
      </c>
      <c r="C3" s="16" t="s">
        <v>707</v>
      </c>
      <c r="D3" s="16" t="s">
        <v>708</v>
      </c>
      <c r="E3" s="16" t="s">
        <v>709</v>
      </c>
      <c r="F3" s="17">
        <v>9</v>
      </c>
      <c r="G3" s="17">
        <v>0</v>
      </c>
      <c r="H3" s="17">
        <v>30</v>
      </c>
      <c r="I3" s="17">
        <f t="shared" ref="I3:I41" si="0">G3-H3</f>
        <v>-30</v>
      </c>
      <c r="J3" s="16" t="s">
        <v>460</v>
      </c>
      <c r="K3" s="16" t="s">
        <v>32</v>
      </c>
      <c r="L3" s="16" t="s">
        <v>710</v>
      </c>
      <c r="M3" s="16"/>
      <c r="N3" s="16"/>
      <c r="O3" s="16"/>
      <c r="P3" s="16"/>
      <c r="Q3" s="16">
        <v>1</v>
      </c>
      <c r="R3" s="10">
        <f>H3</f>
        <v>30</v>
      </c>
    </row>
    <row r="4" spans="1:18" x14ac:dyDescent="0.25">
      <c r="A4" s="16"/>
      <c r="B4" s="16" t="s">
        <v>26</v>
      </c>
      <c r="C4" s="16" t="s">
        <v>711</v>
      </c>
      <c r="D4" s="16" t="s">
        <v>712</v>
      </c>
      <c r="E4" s="16" t="s">
        <v>713</v>
      </c>
      <c r="F4" s="17">
        <v>9</v>
      </c>
      <c r="G4" s="17">
        <v>0</v>
      </c>
      <c r="H4" s="17">
        <v>30</v>
      </c>
      <c r="I4" s="17">
        <f t="shared" si="0"/>
        <v>-30</v>
      </c>
      <c r="J4" s="16" t="s">
        <v>460</v>
      </c>
      <c r="K4" s="16" t="s">
        <v>32</v>
      </c>
      <c r="L4" s="16" t="s">
        <v>710</v>
      </c>
      <c r="M4" s="16"/>
      <c r="N4" s="16"/>
      <c r="O4" s="16"/>
      <c r="P4" s="16"/>
      <c r="Q4" s="16">
        <v>1</v>
      </c>
      <c r="R4" s="10">
        <f>H4</f>
        <v>30</v>
      </c>
    </row>
    <row r="5" spans="1:18" x14ac:dyDescent="0.25">
      <c r="A5" s="16"/>
      <c r="B5" s="16" t="s">
        <v>26</v>
      </c>
      <c r="C5" s="16" t="s">
        <v>714</v>
      </c>
      <c r="D5" s="16" t="s">
        <v>715</v>
      </c>
      <c r="E5" s="16" t="s">
        <v>716</v>
      </c>
      <c r="F5" s="16" t="s">
        <v>51</v>
      </c>
      <c r="G5" s="17">
        <v>1850</v>
      </c>
      <c r="H5" s="17">
        <v>30</v>
      </c>
      <c r="I5" s="17">
        <f t="shared" si="0"/>
        <v>1820</v>
      </c>
      <c r="J5" s="16" t="s">
        <v>717</v>
      </c>
      <c r="K5" s="16" t="s">
        <v>32</v>
      </c>
      <c r="L5" s="16" t="s">
        <v>710</v>
      </c>
      <c r="M5" s="16"/>
      <c r="N5" s="16"/>
      <c r="O5" s="16"/>
      <c r="P5" s="16"/>
      <c r="Q5" s="16">
        <v>1</v>
      </c>
    </row>
    <row r="6" spans="1:18" x14ac:dyDescent="0.25">
      <c r="A6" s="16"/>
      <c r="B6" s="16" t="s">
        <v>26</v>
      </c>
      <c r="C6" s="16" t="s">
        <v>718</v>
      </c>
      <c r="D6" s="16" t="s">
        <v>719</v>
      </c>
      <c r="E6" s="16" t="s">
        <v>720</v>
      </c>
      <c r="F6" s="16" t="s">
        <v>51</v>
      </c>
      <c r="G6" s="17">
        <v>1380</v>
      </c>
      <c r="H6" s="17">
        <v>30</v>
      </c>
      <c r="I6" s="17">
        <f t="shared" si="0"/>
        <v>1350</v>
      </c>
      <c r="J6" s="16" t="s">
        <v>717</v>
      </c>
      <c r="K6" s="16" t="s">
        <v>32</v>
      </c>
      <c r="L6" s="16" t="s">
        <v>710</v>
      </c>
      <c r="M6" s="16"/>
      <c r="N6" s="16"/>
      <c r="O6" s="16"/>
      <c r="P6" s="16"/>
      <c r="Q6" s="16">
        <v>1</v>
      </c>
    </row>
    <row r="7" spans="1:18" x14ac:dyDescent="0.25">
      <c r="A7" s="16"/>
      <c r="B7" s="16" t="s">
        <v>26</v>
      </c>
      <c r="C7" s="16" t="s">
        <v>721</v>
      </c>
      <c r="D7" s="16" t="s">
        <v>722</v>
      </c>
      <c r="E7" s="16" t="s">
        <v>723</v>
      </c>
      <c r="F7" s="16" t="s">
        <v>51</v>
      </c>
      <c r="G7" s="17">
        <v>0</v>
      </c>
      <c r="H7" s="17">
        <v>30</v>
      </c>
      <c r="I7" s="17">
        <f t="shared" si="0"/>
        <v>-30</v>
      </c>
      <c r="J7" s="16" t="s">
        <v>717</v>
      </c>
      <c r="K7" s="16" t="s">
        <v>32</v>
      </c>
      <c r="L7" s="16" t="s">
        <v>710</v>
      </c>
      <c r="M7" s="16"/>
      <c r="N7" s="16"/>
      <c r="O7" s="16"/>
      <c r="P7" s="16"/>
      <c r="Q7" s="16">
        <v>1</v>
      </c>
      <c r="R7" s="10">
        <f>H7</f>
        <v>30</v>
      </c>
    </row>
    <row r="8" spans="1:18" x14ac:dyDescent="0.25">
      <c r="A8" s="16"/>
      <c r="B8" s="16" t="s">
        <v>26</v>
      </c>
      <c r="C8" s="16" t="s">
        <v>280</v>
      </c>
      <c r="D8" s="16" t="s">
        <v>724</v>
      </c>
      <c r="E8" s="16" t="s">
        <v>282</v>
      </c>
      <c r="F8" s="16" t="s">
        <v>51</v>
      </c>
      <c r="G8" s="17">
        <v>720</v>
      </c>
      <c r="H8" s="17">
        <v>30</v>
      </c>
      <c r="I8" s="17">
        <f t="shared" si="0"/>
        <v>690</v>
      </c>
      <c r="J8" s="16" t="s">
        <v>717</v>
      </c>
      <c r="K8" s="16" t="s">
        <v>32</v>
      </c>
      <c r="L8" s="16" t="s">
        <v>710</v>
      </c>
      <c r="M8" s="16"/>
      <c r="N8" s="16"/>
      <c r="O8" s="16"/>
      <c r="P8" s="16"/>
      <c r="Q8" s="16">
        <v>1</v>
      </c>
    </row>
    <row r="9" spans="1:18" x14ac:dyDescent="0.25">
      <c r="A9" s="16"/>
      <c r="B9" s="16" t="s">
        <v>26</v>
      </c>
      <c r="C9" s="16" t="s">
        <v>725</v>
      </c>
      <c r="D9" s="16" t="s">
        <v>726</v>
      </c>
      <c r="E9" s="16" t="s">
        <v>727</v>
      </c>
      <c r="F9" s="17">
        <v>6</v>
      </c>
      <c r="G9" s="17">
        <v>795</v>
      </c>
      <c r="H9" s="17">
        <v>25</v>
      </c>
      <c r="I9" s="17">
        <f t="shared" si="0"/>
        <v>770</v>
      </c>
      <c r="J9" s="16" t="s">
        <v>717</v>
      </c>
      <c r="K9" s="16" t="s">
        <v>32</v>
      </c>
      <c r="L9" s="16" t="s">
        <v>710</v>
      </c>
      <c r="M9" s="16"/>
      <c r="N9" s="16"/>
      <c r="O9" s="16"/>
      <c r="P9" s="16"/>
      <c r="Q9" s="16">
        <v>1</v>
      </c>
    </row>
    <row r="10" spans="1:18" x14ac:dyDescent="0.25">
      <c r="A10" s="16"/>
      <c r="B10" s="16" t="s">
        <v>26</v>
      </c>
      <c r="C10" s="16" t="s">
        <v>728</v>
      </c>
      <c r="D10" s="16" t="s">
        <v>729</v>
      </c>
      <c r="E10" s="16" t="s">
        <v>730</v>
      </c>
      <c r="F10" s="16" t="s">
        <v>51</v>
      </c>
      <c r="G10" s="17">
        <v>0</v>
      </c>
      <c r="H10" s="17">
        <v>30</v>
      </c>
      <c r="I10" s="17">
        <f t="shared" si="0"/>
        <v>-30</v>
      </c>
      <c r="J10" s="16" t="s">
        <v>717</v>
      </c>
      <c r="K10" s="16" t="s">
        <v>32</v>
      </c>
      <c r="L10" s="16" t="s">
        <v>710</v>
      </c>
      <c r="M10" s="16"/>
      <c r="N10" s="16"/>
      <c r="O10" s="16"/>
      <c r="P10" s="16"/>
      <c r="Q10" s="16">
        <v>1</v>
      </c>
      <c r="R10" s="10">
        <f>H10</f>
        <v>30</v>
      </c>
    </row>
    <row r="11" spans="1:18" x14ac:dyDescent="0.25">
      <c r="A11" s="16"/>
      <c r="B11" s="16" t="s">
        <v>26</v>
      </c>
      <c r="C11" s="16" t="s">
        <v>731</v>
      </c>
      <c r="D11" s="16" t="s">
        <v>732</v>
      </c>
      <c r="E11" s="16" t="s">
        <v>733</v>
      </c>
      <c r="F11" s="17">
        <v>8</v>
      </c>
      <c r="G11" s="17">
        <v>620</v>
      </c>
      <c r="H11" s="17">
        <v>30</v>
      </c>
      <c r="I11" s="17">
        <f t="shared" si="0"/>
        <v>590</v>
      </c>
      <c r="J11" s="16" t="s">
        <v>717</v>
      </c>
      <c r="K11" s="16" t="s">
        <v>32</v>
      </c>
      <c r="L11" s="16" t="s">
        <v>710</v>
      </c>
      <c r="M11" s="16"/>
      <c r="N11" s="16"/>
      <c r="O11" s="16"/>
      <c r="P11" s="16"/>
      <c r="Q11" s="16">
        <v>1</v>
      </c>
    </row>
    <row r="12" spans="1:18" x14ac:dyDescent="0.25">
      <c r="A12" s="16"/>
      <c r="B12" s="16" t="s">
        <v>26</v>
      </c>
      <c r="C12" s="16" t="s">
        <v>734</v>
      </c>
      <c r="D12" s="16" t="s">
        <v>735</v>
      </c>
      <c r="E12" s="16" t="s">
        <v>736</v>
      </c>
      <c r="F12" s="17">
        <v>11</v>
      </c>
      <c r="G12" s="17">
        <v>0</v>
      </c>
      <c r="H12" s="17">
        <v>25</v>
      </c>
      <c r="I12" s="17">
        <f t="shared" si="0"/>
        <v>-25</v>
      </c>
      <c r="J12" s="16" t="s">
        <v>717</v>
      </c>
      <c r="K12" s="16" t="s">
        <v>32</v>
      </c>
      <c r="L12" s="16" t="s">
        <v>710</v>
      </c>
      <c r="M12" s="16"/>
      <c r="N12" s="16"/>
      <c r="O12" s="16"/>
      <c r="P12" s="16"/>
      <c r="Q12" s="16">
        <v>1</v>
      </c>
      <c r="R12" s="10">
        <f>H12</f>
        <v>25</v>
      </c>
    </row>
    <row r="13" spans="1:18" x14ac:dyDescent="0.25">
      <c r="A13" s="16"/>
      <c r="B13" s="16" t="s">
        <v>26</v>
      </c>
      <c r="C13" s="16" t="s">
        <v>737</v>
      </c>
      <c r="D13" s="16" t="s">
        <v>738</v>
      </c>
      <c r="E13" s="16" t="s">
        <v>739</v>
      </c>
      <c r="F13" s="16" t="s">
        <v>75</v>
      </c>
      <c r="G13" s="17">
        <v>1510</v>
      </c>
      <c r="H13" s="17">
        <v>20</v>
      </c>
      <c r="I13" s="17">
        <f t="shared" si="0"/>
        <v>1490</v>
      </c>
      <c r="J13" s="16" t="s">
        <v>32</v>
      </c>
      <c r="K13" s="16" t="s">
        <v>32</v>
      </c>
      <c r="L13" s="16" t="s">
        <v>710</v>
      </c>
      <c r="M13" s="16"/>
      <c r="N13" s="16"/>
      <c r="O13" s="16"/>
      <c r="P13" s="16"/>
      <c r="Q13" s="16">
        <v>1</v>
      </c>
    </row>
    <row r="14" spans="1:18" x14ac:dyDescent="0.25">
      <c r="A14" s="16"/>
      <c r="B14" s="16" t="s">
        <v>26</v>
      </c>
      <c r="C14" s="16" t="s">
        <v>740</v>
      </c>
      <c r="D14" s="16" t="s">
        <v>741</v>
      </c>
      <c r="E14" s="16" t="s">
        <v>742</v>
      </c>
      <c r="F14" s="17">
        <v>12</v>
      </c>
      <c r="G14" s="17">
        <v>0</v>
      </c>
      <c r="H14" s="17">
        <v>30</v>
      </c>
      <c r="I14" s="17">
        <f t="shared" si="0"/>
        <v>-30</v>
      </c>
      <c r="J14" s="16" t="s">
        <v>32</v>
      </c>
      <c r="K14" s="16" t="s">
        <v>32</v>
      </c>
      <c r="L14" s="16" t="s">
        <v>710</v>
      </c>
      <c r="M14" s="16"/>
      <c r="N14" s="16"/>
      <c r="O14" s="16"/>
      <c r="P14" s="16"/>
      <c r="Q14" s="16">
        <v>1</v>
      </c>
      <c r="R14" s="10">
        <f>H14</f>
        <v>30</v>
      </c>
    </row>
    <row r="15" spans="1:18" x14ac:dyDescent="0.25">
      <c r="A15" s="16"/>
      <c r="B15" s="16" t="s">
        <v>26</v>
      </c>
      <c r="C15" s="16" t="s">
        <v>411</v>
      </c>
      <c r="D15" s="16" t="s">
        <v>743</v>
      </c>
      <c r="E15" s="16" t="s">
        <v>413</v>
      </c>
      <c r="F15" s="17">
        <v>2</v>
      </c>
      <c r="G15" s="17">
        <v>810</v>
      </c>
      <c r="H15" s="17">
        <v>30</v>
      </c>
      <c r="I15" s="17">
        <f t="shared" si="0"/>
        <v>780</v>
      </c>
      <c r="J15" s="16" t="s">
        <v>32</v>
      </c>
      <c r="K15" s="16" t="s">
        <v>32</v>
      </c>
      <c r="L15" s="16" t="s">
        <v>710</v>
      </c>
      <c r="M15" s="16"/>
      <c r="N15" s="16"/>
      <c r="O15" s="16"/>
      <c r="P15" s="16"/>
      <c r="Q15" s="16">
        <v>1</v>
      </c>
    </row>
    <row r="16" spans="1:18" x14ac:dyDescent="0.25">
      <c r="A16" s="16"/>
      <c r="B16" s="16" t="s">
        <v>26</v>
      </c>
      <c r="C16" s="16" t="s">
        <v>512</v>
      </c>
      <c r="D16" s="16" t="s">
        <v>744</v>
      </c>
      <c r="E16" s="16" t="s">
        <v>514</v>
      </c>
      <c r="F16" s="17">
        <v>2</v>
      </c>
      <c r="G16" s="17">
        <v>940</v>
      </c>
      <c r="H16" s="17">
        <v>30</v>
      </c>
      <c r="I16" s="17">
        <f t="shared" si="0"/>
        <v>910</v>
      </c>
      <c r="J16" s="16" t="s">
        <v>32</v>
      </c>
      <c r="K16" s="16" t="s">
        <v>32</v>
      </c>
      <c r="L16" s="16" t="s">
        <v>710</v>
      </c>
      <c r="M16" s="16"/>
      <c r="N16" s="16"/>
      <c r="O16" s="16"/>
      <c r="P16" s="16"/>
      <c r="Q16" s="16">
        <v>1</v>
      </c>
    </row>
    <row r="17" spans="1:18" x14ac:dyDescent="0.25">
      <c r="A17" s="16"/>
      <c r="B17" s="16" t="s">
        <v>26</v>
      </c>
      <c r="C17" s="16" t="s">
        <v>745</v>
      </c>
      <c r="D17" s="16" t="s">
        <v>746</v>
      </c>
      <c r="E17" s="16" t="s">
        <v>747</v>
      </c>
      <c r="F17" s="16" t="s">
        <v>82</v>
      </c>
      <c r="G17" s="17">
        <v>0</v>
      </c>
      <c r="H17" s="17">
        <v>25</v>
      </c>
      <c r="I17" s="17">
        <f t="shared" si="0"/>
        <v>-25</v>
      </c>
      <c r="J17" s="16" t="s">
        <v>32</v>
      </c>
      <c r="K17" s="16" t="s">
        <v>32</v>
      </c>
      <c r="L17" s="16" t="s">
        <v>710</v>
      </c>
      <c r="M17" s="16"/>
      <c r="N17" s="16"/>
      <c r="O17" s="16"/>
      <c r="P17" s="16"/>
      <c r="Q17" s="16">
        <v>1</v>
      </c>
      <c r="R17" s="10">
        <f>H17</f>
        <v>25</v>
      </c>
    </row>
    <row r="18" spans="1:18" x14ac:dyDescent="0.25">
      <c r="A18" s="16"/>
      <c r="B18" s="16" t="s">
        <v>26</v>
      </c>
      <c r="C18" s="16" t="s">
        <v>748</v>
      </c>
      <c r="D18" s="16" t="s">
        <v>749</v>
      </c>
      <c r="E18" s="16" t="s">
        <v>750</v>
      </c>
      <c r="F18" s="17">
        <v>2</v>
      </c>
      <c r="G18" s="17">
        <v>550</v>
      </c>
      <c r="H18" s="17">
        <v>30</v>
      </c>
      <c r="I18" s="17">
        <f t="shared" si="0"/>
        <v>520</v>
      </c>
      <c r="J18" s="16" t="s">
        <v>32</v>
      </c>
      <c r="K18" s="16" t="s">
        <v>32</v>
      </c>
      <c r="L18" s="16" t="s">
        <v>710</v>
      </c>
      <c r="M18" s="16"/>
      <c r="N18" s="16"/>
      <c r="O18" s="16"/>
      <c r="P18" s="16"/>
      <c r="Q18" s="16">
        <v>1</v>
      </c>
    </row>
    <row r="19" spans="1:18" x14ac:dyDescent="0.25">
      <c r="A19" s="16"/>
      <c r="B19" s="16" t="s">
        <v>26</v>
      </c>
      <c r="C19" s="16" t="s">
        <v>649</v>
      </c>
      <c r="D19" s="16" t="s">
        <v>751</v>
      </c>
      <c r="E19" s="16" t="s">
        <v>752</v>
      </c>
      <c r="F19" s="16" t="s">
        <v>82</v>
      </c>
      <c r="G19" s="17">
        <v>665</v>
      </c>
      <c r="H19" s="17">
        <v>25</v>
      </c>
      <c r="I19" s="17">
        <f t="shared" si="0"/>
        <v>640</v>
      </c>
      <c r="J19" s="16" t="s">
        <v>32</v>
      </c>
      <c r="K19" s="16" t="s">
        <v>32</v>
      </c>
      <c r="L19" s="16" t="s">
        <v>710</v>
      </c>
      <c r="M19" s="16"/>
      <c r="N19" s="16"/>
      <c r="O19" s="16"/>
      <c r="P19" s="16"/>
      <c r="Q19" s="16">
        <v>1</v>
      </c>
    </row>
    <row r="20" spans="1:18" x14ac:dyDescent="0.25">
      <c r="A20" s="16"/>
      <c r="B20" s="16" t="s">
        <v>26</v>
      </c>
      <c r="C20" s="16" t="s">
        <v>753</v>
      </c>
      <c r="D20" s="16" t="s">
        <v>754</v>
      </c>
      <c r="E20" s="16" t="s">
        <v>755</v>
      </c>
      <c r="F20" s="16" t="s">
        <v>75</v>
      </c>
      <c r="G20" s="17">
        <v>870</v>
      </c>
      <c r="H20" s="17">
        <v>20</v>
      </c>
      <c r="I20" s="17">
        <f t="shared" si="0"/>
        <v>850</v>
      </c>
      <c r="J20" s="16" t="s">
        <v>32</v>
      </c>
      <c r="K20" s="16" t="s">
        <v>32</v>
      </c>
      <c r="L20" s="16" t="s">
        <v>710</v>
      </c>
      <c r="M20" s="16"/>
      <c r="N20" s="16"/>
      <c r="O20" s="16"/>
      <c r="P20" s="16"/>
      <c r="Q20" s="16">
        <v>1</v>
      </c>
    </row>
    <row r="21" spans="1:18" x14ac:dyDescent="0.25">
      <c r="A21" s="16"/>
      <c r="B21" s="16" t="s">
        <v>26</v>
      </c>
      <c r="C21" s="16" t="s">
        <v>756</v>
      </c>
      <c r="D21" s="16" t="s">
        <v>757</v>
      </c>
      <c r="E21" s="16" t="s">
        <v>758</v>
      </c>
      <c r="F21" s="16" t="s">
        <v>75</v>
      </c>
      <c r="G21" s="17">
        <v>0</v>
      </c>
      <c r="H21" s="17">
        <v>20</v>
      </c>
      <c r="I21" s="17">
        <f t="shared" si="0"/>
        <v>-20</v>
      </c>
      <c r="J21" s="16" t="s">
        <v>32</v>
      </c>
      <c r="K21" s="16" t="s">
        <v>32</v>
      </c>
      <c r="L21" s="16" t="s">
        <v>710</v>
      </c>
      <c r="M21" s="16"/>
      <c r="N21" s="16"/>
      <c r="O21" s="16"/>
      <c r="P21" s="16"/>
      <c r="Q21" s="16">
        <v>1</v>
      </c>
      <c r="R21" s="10">
        <f>H21</f>
        <v>20</v>
      </c>
    </row>
    <row r="22" spans="1:18" x14ac:dyDescent="0.25">
      <c r="A22" s="16"/>
      <c r="B22" s="16" t="s">
        <v>26</v>
      </c>
      <c r="C22" s="16" t="s">
        <v>219</v>
      </c>
      <c r="D22" s="16" t="s">
        <v>759</v>
      </c>
      <c r="E22" s="16" t="s">
        <v>760</v>
      </c>
      <c r="F22" s="16" t="s">
        <v>75</v>
      </c>
      <c r="G22" s="17">
        <v>710</v>
      </c>
      <c r="H22" s="17">
        <v>20</v>
      </c>
      <c r="I22" s="17">
        <f t="shared" si="0"/>
        <v>690</v>
      </c>
      <c r="J22" s="16" t="s">
        <v>32</v>
      </c>
      <c r="K22" s="16" t="s">
        <v>32</v>
      </c>
      <c r="L22" s="16" t="s">
        <v>710</v>
      </c>
      <c r="M22" s="16"/>
      <c r="N22" s="16"/>
      <c r="O22" s="16"/>
      <c r="P22" s="16"/>
      <c r="Q22" s="16">
        <v>1</v>
      </c>
    </row>
    <row r="23" spans="1:18" x14ac:dyDescent="0.25">
      <c r="A23" s="16"/>
      <c r="B23" s="16" t="s">
        <v>26</v>
      </c>
      <c r="C23" s="16" t="s">
        <v>761</v>
      </c>
      <c r="D23" s="16" t="s">
        <v>762</v>
      </c>
      <c r="E23" s="16" t="s">
        <v>763</v>
      </c>
      <c r="F23" s="17">
        <v>12</v>
      </c>
      <c r="G23" s="17">
        <v>0</v>
      </c>
      <c r="H23" s="17">
        <v>30</v>
      </c>
      <c r="I23" s="17">
        <f t="shared" si="0"/>
        <v>-30</v>
      </c>
      <c r="J23" s="16" t="s">
        <v>32</v>
      </c>
      <c r="K23" s="16" t="s">
        <v>32</v>
      </c>
      <c r="L23" s="16" t="s">
        <v>710</v>
      </c>
      <c r="M23" s="16"/>
      <c r="N23" s="16"/>
      <c r="O23" s="16"/>
      <c r="P23" s="16"/>
      <c r="Q23" s="16">
        <v>1</v>
      </c>
      <c r="R23" s="10">
        <f>H23</f>
        <v>30</v>
      </c>
    </row>
    <row r="24" spans="1:18" x14ac:dyDescent="0.25">
      <c r="A24" s="16"/>
      <c r="B24" s="16" t="s">
        <v>26</v>
      </c>
      <c r="C24" s="16" t="s">
        <v>764</v>
      </c>
      <c r="D24" s="16" t="s">
        <v>765</v>
      </c>
      <c r="E24" s="16" t="s">
        <v>766</v>
      </c>
      <c r="F24" s="16" t="s">
        <v>82</v>
      </c>
      <c r="G24" s="17">
        <v>1375</v>
      </c>
      <c r="H24" s="17">
        <v>25</v>
      </c>
      <c r="I24" s="17">
        <f t="shared" si="0"/>
        <v>1350</v>
      </c>
      <c r="J24" s="16" t="s">
        <v>32</v>
      </c>
      <c r="K24" s="16" t="s">
        <v>32</v>
      </c>
      <c r="L24" s="16" t="s">
        <v>710</v>
      </c>
      <c r="M24" s="16"/>
      <c r="N24" s="16"/>
      <c r="O24" s="16"/>
      <c r="P24" s="16"/>
      <c r="Q24" s="16">
        <v>1</v>
      </c>
    </row>
    <row r="25" spans="1:18" x14ac:dyDescent="0.25">
      <c r="A25" s="16"/>
      <c r="B25" s="16" t="s">
        <v>26</v>
      </c>
      <c r="C25" s="16" t="s">
        <v>222</v>
      </c>
      <c r="D25" s="16" t="s">
        <v>767</v>
      </c>
      <c r="E25" s="16" t="s">
        <v>768</v>
      </c>
      <c r="F25" s="17">
        <v>2</v>
      </c>
      <c r="G25" s="17">
        <v>0</v>
      </c>
      <c r="H25" s="17">
        <v>30</v>
      </c>
      <c r="I25" s="17">
        <f t="shared" si="0"/>
        <v>-30</v>
      </c>
      <c r="J25" s="16" t="s">
        <v>32</v>
      </c>
      <c r="K25" s="16" t="s">
        <v>32</v>
      </c>
      <c r="L25" s="16" t="s">
        <v>710</v>
      </c>
      <c r="M25" s="16"/>
      <c r="N25" s="16"/>
      <c r="O25" s="16"/>
      <c r="P25" s="16"/>
      <c r="Q25" s="16">
        <v>1</v>
      </c>
      <c r="R25" s="10">
        <f>H25</f>
        <v>30</v>
      </c>
    </row>
    <row r="26" spans="1:18" x14ac:dyDescent="0.25">
      <c r="A26" s="16"/>
      <c r="B26" s="16" t="s">
        <v>26</v>
      </c>
      <c r="C26" s="16" t="s">
        <v>769</v>
      </c>
      <c r="D26" s="16" t="s">
        <v>770</v>
      </c>
      <c r="E26" s="16" t="s">
        <v>771</v>
      </c>
      <c r="F26" s="16" t="s">
        <v>75</v>
      </c>
      <c r="G26" s="17">
        <v>800</v>
      </c>
      <c r="H26" s="17">
        <v>20</v>
      </c>
      <c r="I26" s="17">
        <f t="shared" si="0"/>
        <v>780</v>
      </c>
      <c r="J26" s="16" t="s">
        <v>32</v>
      </c>
      <c r="K26" s="16" t="s">
        <v>32</v>
      </c>
      <c r="L26" s="16" t="s">
        <v>710</v>
      </c>
      <c r="M26" s="16"/>
      <c r="N26" s="16"/>
      <c r="O26" s="16"/>
      <c r="P26" s="16"/>
      <c r="Q26" s="16">
        <v>1</v>
      </c>
    </row>
    <row r="27" spans="1:18" x14ac:dyDescent="0.25">
      <c r="A27" s="16" t="s">
        <v>141</v>
      </c>
      <c r="B27" s="16" t="s">
        <v>26</v>
      </c>
      <c r="C27" s="16" t="s">
        <v>204</v>
      </c>
      <c r="D27" s="16"/>
      <c r="E27" s="16" t="s">
        <v>205</v>
      </c>
      <c r="F27" s="16" t="s">
        <v>82</v>
      </c>
      <c r="G27" s="17">
        <v>3385</v>
      </c>
      <c r="H27" s="17">
        <v>35</v>
      </c>
      <c r="I27" s="17">
        <f t="shared" si="0"/>
        <v>3350</v>
      </c>
      <c r="J27" s="16" t="s">
        <v>32</v>
      </c>
      <c r="K27" s="16" t="s">
        <v>32</v>
      </c>
      <c r="L27" s="16" t="s">
        <v>710</v>
      </c>
      <c r="M27" s="16"/>
      <c r="N27" s="16"/>
      <c r="O27" s="16"/>
      <c r="P27" s="16"/>
      <c r="Q27" s="16">
        <v>1</v>
      </c>
    </row>
    <row r="28" spans="1:18" x14ac:dyDescent="0.25">
      <c r="A28" s="16"/>
      <c r="B28" s="16" t="s">
        <v>26</v>
      </c>
      <c r="C28" s="16" t="s">
        <v>772</v>
      </c>
      <c r="D28" s="16" t="s">
        <v>773</v>
      </c>
      <c r="E28" s="16" t="s">
        <v>774</v>
      </c>
      <c r="F28" s="16" t="s">
        <v>93</v>
      </c>
      <c r="G28" s="17">
        <v>0</v>
      </c>
      <c r="H28" s="17">
        <v>25</v>
      </c>
      <c r="I28" s="17">
        <f t="shared" si="0"/>
        <v>-25</v>
      </c>
      <c r="J28" s="16" t="s">
        <v>103</v>
      </c>
      <c r="K28" s="16" t="s">
        <v>32</v>
      </c>
      <c r="L28" s="16" t="s">
        <v>710</v>
      </c>
      <c r="M28" s="16"/>
      <c r="N28" s="16"/>
      <c r="O28" s="16"/>
      <c r="P28" s="16"/>
      <c r="Q28" s="16">
        <v>1</v>
      </c>
      <c r="R28" s="10">
        <f>H28</f>
        <v>25</v>
      </c>
    </row>
    <row r="29" spans="1:18" x14ac:dyDescent="0.25">
      <c r="A29" s="16"/>
      <c r="B29" s="16" t="s">
        <v>26</v>
      </c>
      <c r="C29" s="16" t="s">
        <v>631</v>
      </c>
      <c r="D29" s="16" t="s">
        <v>775</v>
      </c>
      <c r="E29" s="16" t="s">
        <v>776</v>
      </c>
      <c r="F29" s="17">
        <v>10</v>
      </c>
      <c r="G29" s="17">
        <v>715</v>
      </c>
      <c r="H29" s="17">
        <v>25</v>
      </c>
      <c r="I29" s="17">
        <f t="shared" si="0"/>
        <v>690</v>
      </c>
      <c r="J29" s="16" t="s">
        <v>103</v>
      </c>
      <c r="K29" s="16" t="s">
        <v>32</v>
      </c>
      <c r="L29" s="16" t="s">
        <v>710</v>
      </c>
      <c r="M29" s="16"/>
      <c r="N29" s="16"/>
      <c r="O29" s="16"/>
      <c r="P29" s="16"/>
      <c r="Q29" s="16">
        <v>1</v>
      </c>
    </row>
    <row r="30" spans="1:18" x14ac:dyDescent="0.25">
      <c r="A30" s="16"/>
      <c r="B30" s="16" t="s">
        <v>26</v>
      </c>
      <c r="C30" s="16" t="s">
        <v>777</v>
      </c>
      <c r="D30" s="16" t="s">
        <v>778</v>
      </c>
      <c r="E30" s="16" t="s">
        <v>779</v>
      </c>
      <c r="F30" s="16" t="s">
        <v>243</v>
      </c>
      <c r="G30" s="17">
        <v>815</v>
      </c>
      <c r="H30" s="17">
        <v>35</v>
      </c>
      <c r="I30" s="17">
        <f t="shared" si="0"/>
        <v>780</v>
      </c>
      <c r="J30" s="16" t="s">
        <v>103</v>
      </c>
      <c r="K30" s="16" t="s">
        <v>32</v>
      </c>
      <c r="L30" s="16" t="s">
        <v>710</v>
      </c>
      <c r="M30" s="16"/>
      <c r="N30" s="16"/>
      <c r="O30" s="16"/>
      <c r="P30" s="16"/>
      <c r="Q30" s="16">
        <v>1</v>
      </c>
    </row>
    <row r="31" spans="1:18" x14ac:dyDescent="0.25">
      <c r="A31" s="16"/>
      <c r="B31" s="16" t="s">
        <v>26</v>
      </c>
      <c r="C31" s="16" t="s">
        <v>690</v>
      </c>
      <c r="D31" s="16" t="s">
        <v>780</v>
      </c>
      <c r="E31" s="16" t="s">
        <v>692</v>
      </c>
      <c r="F31" s="17">
        <v>10</v>
      </c>
      <c r="G31" s="17">
        <v>1625</v>
      </c>
      <c r="H31" s="17">
        <v>25</v>
      </c>
      <c r="I31" s="17">
        <f t="shared" si="0"/>
        <v>1600</v>
      </c>
      <c r="J31" s="16" t="s">
        <v>103</v>
      </c>
      <c r="K31" s="16" t="s">
        <v>32</v>
      </c>
      <c r="L31" s="16" t="s">
        <v>710</v>
      </c>
      <c r="M31" s="16"/>
      <c r="N31" s="16"/>
      <c r="O31" s="16"/>
      <c r="P31" s="16"/>
      <c r="Q31" s="16">
        <v>1</v>
      </c>
    </row>
    <row r="32" spans="1:18" x14ac:dyDescent="0.25">
      <c r="A32" s="16"/>
      <c r="B32" s="16" t="s">
        <v>26</v>
      </c>
      <c r="C32" s="16" t="s">
        <v>781</v>
      </c>
      <c r="D32" s="16" t="s">
        <v>782</v>
      </c>
      <c r="E32" s="16" t="s">
        <v>783</v>
      </c>
      <c r="F32" s="16" t="s">
        <v>93</v>
      </c>
      <c r="G32" s="17">
        <v>935</v>
      </c>
      <c r="H32" s="17">
        <v>25</v>
      </c>
      <c r="I32" s="17">
        <f t="shared" si="0"/>
        <v>910</v>
      </c>
      <c r="J32" s="16" t="s">
        <v>103</v>
      </c>
      <c r="K32" s="16" t="s">
        <v>32</v>
      </c>
      <c r="L32" s="16" t="s">
        <v>710</v>
      </c>
      <c r="M32" s="16"/>
      <c r="N32" s="16"/>
      <c r="O32" s="16"/>
      <c r="P32" s="16"/>
      <c r="Q32" s="16">
        <v>1</v>
      </c>
    </row>
    <row r="33" spans="1:18" x14ac:dyDescent="0.25">
      <c r="A33" s="16"/>
      <c r="B33" s="16" t="s">
        <v>26</v>
      </c>
      <c r="C33" s="16" t="s">
        <v>784</v>
      </c>
      <c r="D33" s="16" t="s">
        <v>785</v>
      </c>
      <c r="E33" s="16" t="s">
        <v>786</v>
      </c>
      <c r="F33" s="17">
        <v>7</v>
      </c>
      <c r="G33" s="17">
        <v>0</v>
      </c>
      <c r="H33" s="17">
        <v>30</v>
      </c>
      <c r="I33" s="17">
        <f t="shared" si="0"/>
        <v>-30</v>
      </c>
      <c r="J33" s="16" t="s">
        <v>103</v>
      </c>
      <c r="K33" s="16" t="s">
        <v>32</v>
      </c>
      <c r="L33" s="16" t="s">
        <v>710</v>
      </c>
      <c r="M33" s="16"/>
      <c r="N33" s="16"/>
      <c r="O33" s="16"/>
      <c r="P33" s="16"/>
      <c r="Q33" s="16">
        <v>1</v>
      </c>
      <c r="R33" s="10">
        <f>H33</f>
        <v>30</v>
      </c>
    </row>
    <row r="34" spans="1:18" x14ac:dyDescent="0.25">
      <c r="A34" s="16"/>
      <c r="B34" s="16" t="s">
        <v>26</v>
      </c>
      <c r="C34" s="16" t="s">
        <v>787</v>
      </c>
      <c r="D34" s="16" t="s">
        <v>788</v>
      </c>
      <c r="E34" s="16" t="s">
        <v>789</v>
      </c>
      <c r="F34" s="17">
        <v>7</v>
      </c>
      <c r="G34" s="17">
        <v>0</v>
      </c>
      <c r="H34" s="17">
        <v>30</v>
      </c>
      <c r="I34" s="17">
        <f t="shared" si="0"/>
        <v>-30</v>
      </c>
      <c r="J34" s="16" t="s">
        <v>103</v>
      </c>
      <c r="K34" s="16" t="s">
        <v>32</v>
      </c>
      <c r="L34" s="16" t="s">
        <v>710</v>
      </c>
      <c r="M34" s="16"/>
      <c r="N34" s="16"/>
      <c r="O34" s="16"/>
      <c r="P34" s="16"/>
      <c r="Q34" s="16">
        <v>1</v>
      </c>
      <c r="R34" s="10">
        <f>H34</f>
        <v>30</v>
      </c>
    </row>
    <row r="35" spans="1:18" x14ac:dyDescent="0.25">
      <c r="A35" s="16"/>
      <c r="B35" s="16" t="s">
        <v>26</v>
      </c>
      <c r="C35" s="16" t="s">
        <v>790</v>
      </c>
      <c r="D35" s="16" t="s">
        <v>791</v>
      </c>
      <c r="E35" s="16" t="s">
        <v>792</v>
      </c>
      <c r="F35" s="17">
        <v>3</v>
      </c>
      <c r="G35" s="17">
        <v>465</v>
      </c>
      <c r="H35" s="17">
        <v>25</v>
      </c>
      <c r="I35" s="17">
        <f t="shared" si="0"/>
        <v>440</v>
      </c>
      <c r="J35" s="16" t="s">
        <v>103</v>
      </c>
      <c r="K35" s="16" t="s">
        <v>32</v>
      </c>
      <c r="L35" s="16" t="s">
        <v>710</v>
      </c>
      <c r="M35" s="16"/>
      <c r="N35" s="16"/>
      <c r="O35" s="16"/>
      <c r="P35" s="16"/>
      <c r="Q35" s="16">
        <v>1</v>
      </c>
    </row>
    <row r="36" spans="1:18" x14ac:dyDescent="0.25">
      <c r="A36" s="16"/>
      <c r="B36" s="16" t="s">
        <v>26</v>
      </c>
      <c r="C36" s="16" t="s">
        <v>793</v>
      </c>
      <c r="D36" s="16" t="s">
        <v>794</v>
      </c>
      <c r="E36" s="16" t="s">
        <v>795</v>
      </c>
      <c r="F36" s="17">
        <v>5</v>
      </c>
      <c r="G36" s="17">
        <v>1405</v>
      </c>
      <c r="H36" s="17">
        <v>25</v>
      </c>
      <c r="I36" s="17">
        <f t="shared" si="0"/>
        <v>1380</v>
      </c>
      <c r="J36" s="16" t="s">
        <v>103</v>
      </c>
      <c r="K36" s="16" t="s">
        <v>32</v>
      </c>
      <c r="L36" s="16" t="s">
        <v>710</v>
      </c>
      <c r="M36" s="16"/>
      <c r="N36" s="16"/>
      <c r="O36" s="16"/>
      <c r="P36" s="16"/>
      <c r="Q36" s="16">
        <v>1</v>
      </c>
    </row>
    <row r="37" spans="1:18" x14ac:dyDescent="0.25">
      <c r="A37" s="16"/>
      <c r="B37" s="16" t="s">
        <v>26</v>
      </c>
      <c r="C37" s="16" t="s">
        <v>796</v>
      </c>
      <c r="D37" s="16" t="s">
        <v>797</v>
      </c>
      <c r="E37" s="16" t="s">
        <v>798</v>
      </c>
      <c r="F37" s="17">
        <v>5</v>
      </c>
      <c r="G37" s="17">
        <v>845</v>
      </c>
      <c r="H37" s="17">
        <v>25</v>
      </c>
      <c r="I37" s="17">
        <f t="shared" si="0"/>
        <v>820</v>
      </c>
      <c r="J37" s="16" t="s">
        <v>103</v>
      </c>
      <c r="K37" s="16" t="s">
        <v>32</v>
      </c>
      <c r="L37" s="16" t="s">
        <v>710</v>
      </c>
      <c r="M37" s="16"/>
      <c r="N37" s="16"/>
      <c r="O37" s="16"/>
      <c r="P37" s="16"/>
      <c r="Q37" s="16">
        <v>1</v>
      </c>
    </row>
    <row r="38" spans="1:18" x14ac:dyDescent="0.25">
      <c r="A38" s="16"/>
      <c r="B38" s="16" t="s">
        <v>26</v>
      </c>
      <c r="C38" s="16" t="s">
        <v>799</v>
      </c>
      <c r="D38" s="16" t="s">
        <v>800</v>
      </c>
      <c r="E38" s="16" t="s">
        <v>801</v>
      </c>
      <c r="F38" s="16" t="s">
        <v>93</v>
      </c>
      <c r="G38" s="17">
        <v>1655</v>
      </c>
      <c r="H38" s="17">
        <v>25</v>
      </c>
      <c r="I38" s="17">
        <f t="shared" si="0"/>
        <v>1630</v>
      </c>
      <c r="J38" s="16" t="s">
        <v>103</v>
      </c>
      <c r="K38" s="16" t="s">
        <v>32</v>
      </c>
      <c r="L38" s="16" t="s">
        <v>710</v>
      </c>
      <c r="M38" s="16"/>
      <c r="N38" s="16"/>
      <c r="O38" s="16"/>
      <c r="P38" s="16"/>
      <c r="Q38" s="16">
        <v>1</v>
      </c>
    </row>
    <row r="39" spans="1:18" x14ac:dyDescent="0.25">
      <c r="A39" s="16" t="s">
        <v>141</v>
      </c>
      <c r="B39" s="16" t="s">
        <v>26</v>
      </c>
      <c r="C39" s="16" t="s">
        <v>802</v>
      </c>
      <c r="D39" s="16"/>
      <c r="E39" s="16" t="s">
        <v>803</v>
      </c>
      <c r="F39" s="16" t="s">
        <v>110</v>
      </c>
      <c r="G39" s="17">
        <v>30</v>
      </c>
      <c r="H39" s="17">
        <v>30</v>
      </c>
      <c r="I39" s="17">
        <f t="shared" si="0"/>
        <v>0</v>
      </c>
      <c r="J39" s="16" t="s">
        <v>103</v>
      </c>
      <c r="K39" s="16" t="s">
        <v>32</v>
      </c>
      <c r="L39" s="16" t="s">
        <v>710</v>
      </c>
      <c r="M39" s="16"/>
      <c r="N39" s="16"/>
      <c r="O39" s="16"/>
      <c r="P39" s="16"/>
      <c r="Q39" s="16">
        <v>1</v>
      </c>
    </row>
    <row r="40" spans="1:18" s="2" customFormat="1" x14ac:dyDescent="0.25">
      <c r="A40" s="23"/>
      <c r="B40" s="23" t="s">
        <v>26</v>
      </c>
      <c r="C40" s="23" t="s">
        <v>804</v>
      </c>
      <c r="D40" s="23" t="s">
        <v>805</v>
      </c>
      <c r="E40" s="23" t="s">
        <v>806</v>
      </c>
      <c r="F40" s="23" t="s">
        <v>611</v>
      </c>
      <c r="G40" s="24">
        <v>805</v>
      </c>
      <c r="H40" s="24">
        <v>25</v>
      </c>
      <c r="I40" s="24">
        <f t="shared" si="0"/>
        <v>780</v>
      </c>
      <c r="J40" s="23" t="s">
        <v>269</v>
      </c>
      <c r="K40" s="23" t="s">
        <v>32</v>
      </c>
      <c r="L40" s="23" t="s">
        <v>710</v>
      </c>
      <c r="M40" s="23" t="s">
        <v>612</v>
      </c>
      <c r="N40" s="23" t="s">
        <v>271</v>
      </c>
      <c r="O40" s="23"/>
      <c r="P40" s="23" t="s">
        <v>272</v>
      </c>
      <c r="Q40" s="23">
        <v>1</v>
      </c>
    </row>
    <row r="41" spans="1:18" s="2" customFormat="1" x14ac:dyDescent="0.25">
      <c r="A41" s="23"/>
      <c r="B41" s="23" t="s">
        <v>26</v>
      </c>
      <c r="C41" s="23" t="s">
        <v>429</v>
      </c>
      <c r="D41" s="23" t="s">
        <v>430</v>
      </c>
      <c r="E41" s="23" t="s">
        <v>431</v>
      </c>
      <c r="F41" s="24">
        <v>4</v>
      </c>
      <c r="G41" s="24">
        <v>545</v>
      </c>
      <c r="H41" s="24">
        <v>25</v>
      </c>
      <c r="I41" s="24">
        <f t="shared" si="0"/>
        <v>520</v>
      </c>
      <c r="J41" s="23" t="s">
        <v>269</v>
      </c>
      <c r="K41" s="23" t="s">
        <v>32</v>
      </c>
      <c r="L41" s="23" t="s">
        <v>381</v>
      </c>
      <c r="M41" s="23" t="s">
        <v>157</v>
      </c>
      <c r="N41" s="23" t="s">
        <v>271</v>
      </c>
      <c r="O41" s="23" t="s">
        <v>271</v>
      </c>
      <c r="P41" s="23" t="s">
        <v>272</v>
      </c>
      <c r="Q41" s="23">
        <v>1</v>
      </c>
    </row>
    <row r="43" spans="1:18" x14ac:dyDescent="0.25">
      <c r="D43" s="1">
        <f>COUNTA(D3:D41)</f>
        <v>37</v>
      </c>
      <c r="G43" s="1">
        <f t="shared" ref="G43:Q43" si="1">SUBTOTAL(9,G3:G41)</f>
        <v>26820</v>
      </c>
      <c r="H43" s="1">
        <f t="shared" si="1"/>
        <v>1055</v>
      </c>
      <c r="I43" s="1">
        <f t="shared" si="1"/>
        <v>25765</v>
      </c>
      <c r="J43" s="1">
        <f t="shared" si="1"/>
        <v>0</v>
      </c>
      <c r="K43" s="1">
        <f t="shared" si="1"/>
        <v>0</v>
      </c>
      <c r="L43" s="1">
        <f t="shared" si="1"/>
        <v>0</v>
      </c>
      <c r="M43" s="1">
        <f t="shared" si="1"/>
        <v>0</v>
      </c>
      <c r="N43" s="1">
        <f t="shared" si="1"/>
        <v>0</v>
      </c>
      <c r="O43" s="1">
        <f t="shared" si="1"/>
        <v>0</v>
      </c>
      <c r="P43" s="1">
        <f t="shared" si="1"/>
        <v>0</v>
      </c>
      <c r="Q43" s="1">
        <f t="shared" si="1"/>
        <v>39</v>
      </c>
    </row>
    <row r="44" spans="1:18" x14ac:dyDescent="0.25">
      <c r="H44">
        <f>-3*17</f>
        <v>-51</v>
      </c>
    </row>
    <row r="45" spans="1:18" x14ac:dyDescent="0.25">
      <c r="A45" s="1" t="s">
        <v>26</v>
      </c>
      <c r="C45" s="34" t="s">
        <v>144</v>
      </c>
      <c r="D45" s="34"/>
      <c r="E45" s="4" t="s">
        <v>145</v>
      </c>
      <c r="H45">
        <f>-5*25</f>
        <v>-125</v>
      </c>
      <c r="K45" s="11" t="s">
        <v>103</v>
      </c>
      <c r="L45" s="11" t="s">
        <v>146</v>
      </c>
      <c r="M45" s="11" t="s">
        <v>145</v>
      </c>
      <c r="O45" s="4" t="s">
        <v>147</v>
      </c>
    </row>
    <row r="46" spans="1:18" x14ac:dyDescent="0.25">
      <c r="A46" t="s">
        <v>710</v>
      </c>
      <c r="B46" s="3" t="s">
        <v>148</v>
      </c>
      <c r="C46" s="35">
        <f>SUMIFS(I$3:I$41,B$3:B$41,A$45,L$3:L$41,A$46)</f>
        <v>25245</v>
      </c>
      <c r="D46" s="35"/>
      <c r="E46" s="3">
        <f>SUMIFS(Q$3:Q$41,B$3:B$41,A$45,L$3:L$41,A$46)</f>
        <v>38</v>
      </c>
      <c r="F46" t="s">
        <v>149</v>
      </c>
      <c r="K46" t="s">
        <v>150</v>
      </c>
      <c r="L46">
        <f>SUMIFS(G$3:G$41,J$3:J$41,K$45)</f>
        <v>8490</v>
      </c>
      <c r="M46">
        <f>SUMIFS(Q$3:Q$41,J$3:J$41,K$45)-INT(COUNTIFS(J$3:J$41,K$45,M$3:M$41,"*gộp*")/2)</f>
        <v>12</v>
      </c>
      <c r="O46" t="s">
        <v>103</v>
      </c>
      <c r="P46">
        <f>L51</f>
        <v>7700</v>
      </c>
    </row>
    <row r="47" spans="1:18" x14ac:dyDescent="0.25">
      <c r="B47" s="2" t="s">
        <v>152</v>
      </c>
      <c r="C47" s="36">
        <v>0</v>
      </c>
      <c r="D47" s="36"/>
      <c r="K47" t="s">
        <v>153</v>
      </c>
      <c r="L47">
        <f>-SUMIFS(H$3:H$41,J$3:J$41,K$45)+M47*5</f>
        <v>-265</v>
      </c>
      <c r="M47">
        <f>SUMIFS(Q$3:Q$41,J$3:J$41,K$45)-INT(COUNTIFS(J$3:J$41,K$45,M$3:M$41,"*gộp*")/2)</f>
        <v>12</v>
      </c>
      <c r="O47" t="s">
        <v>32</v>
      </c>
      <c r="P47">
        <f>L59</f>
        <v>11228</v>
      </c>
    </row>
    <row r="48" spans="1:18" x14ac:dyDescent="0.25">
      <c r="B48" s="2" t="s">
        <v>154</v>
      </c>
      <c r="C48" s="36">
        <f>-SUMIFS(I$3:I$41,B$3:B$41,A$45,P$3:P$41,"xx",N$3:N$41,"x")</f>
        <v>-1300</v>
      </c>
      <c r="D48" s="36"/>
      <c r="E48" s="2">
        <f>SUMIFS(Q$3:Q$41,B$3:B$41,A$45,P$3:P$41,"xx",N$3:N$41,"x")</f>
        <v>2</v>
      </c>
      <c r="K48" t="s">
        <v>155</v>
      </c>
      <c r="O48" t="s">
        <v>807</v>
      </c>
      <c r="P48">
        <f>L67</f>
        <v>5189</v>
      </c>
    </row>
    <row r="49" spans="2:16" x14ac:dyDescent="0.25">
      <c r="B49" s="4" t="s">
        <v>156</v>
      </c>
      <c r="C49" s="34">
        <f>SUBTOTAL(9,C46:C48)</f>
        <v>23945</v>
      </c>
      <c r="D49" s="34"/>
      <c r="E49">
        <f>E46</f>
        <v>38</v>
      </c>
      <c r="K49" s="12" t="s">
        <v>157</v>
      </c>
      <c r="L49" s="25">
        <v>-525</v>
      </c>
      <c r="M49" s="25" t="s">
        <v>274</v>
      </c>
      <c r="O49" t="s">
        <v>460</v>
      </c>
      <c r="P49">
        <f>L75</f>
        <v>-50</v>
      </c>
    </row>
    <row r="50" spans="2:16" x14ac:dyDescent="0.25">
      <c r="B50" s="2" t="s">
        <v>159</v>
      </c>
      <c r="C50" s="32"/>
      <c r="D50" s="32"/>
      <c r="K50" s="2" t="s">
        <v>160</v>
      </c>
      <c r="O50" t="s">
        <v>158</v>
      </c>
      <c r="P50">
        <f>-C53</f>
        <v>-23945</v>
      </c>
    </row>
    <row r="51" spans="2:16" x14ac:dyDescent="0.25">
      <c r="B51" s="13" t="s">
        <v>162</v>
      </c>
      <c r="C51" s="32"/>
      <c r="D51" s="32"/>
      <c r="L51" s="14">
        <f>SUBTOTAL(9,L46:L50)</f>
        <v>7700</v>
      </c>
      <c r="M51" s="14">
        <f>M46</f>
        <v>12</v>
      </c>
      <c r="O51" s="4" t="s">
        <v>161</v>
      </c>
      <c r="P51" s="4">
        <f>SUBTOTAL(9,P46:P50)</f>
        <v>122</v>
      </c>
    </row>
    <row r="53" spans="2:16" x14ac:dyDescent="0.25">
      <c r="B53" s="1" t="s">
        <v>163</v>
      </c>
      <c r="C53" s="33">
        <f>C49+C50+C51</f>
        <v>23945</v>
      </c>
      <c r="D53" s="33"/>
      <c r="E53" s="1" t="s">
        <v>164</v>
      </c>
      <c r="K53" s="11" t="s">
        <v>32</v>
      </c>
      <c r="L53" s="11" t="s">
        <v>146</v>
      </c>
      <c r="M53" s="11" t="s">
        <v>145</v>
      </c>
    </row>
    <row r="54" spans="2:16" x14ac:dyDescent="0.25">
      <c r="K54" t="s">
        <v>150</v>
      </c>
      <c r="L54">
        <f>SUMIFS(G$3:G$41,J$3:J$41,K$53)</f>
        <v>11615</v>
      </c>
      <c r="M54">
        <f>SUMIFS(Q$3:Q$41,J$3:J$41,K$53)-INT(COUNTIFS(J$3:J$41,K$53,M$3:M$41,"*gộp*")/2)</f>
        <v>15</v>
      </c>
    </row>
    <row r="55" spans="2:16" x14ac:dyDescent="0.25">
      <c r="K55" t="s">
        <v>153</v>
      </c>
      <c r="L55">
        <f>-SUMIFS(H$3:H$41,J$3:J$41,K$53)+M55*5</f>
        <v>-315</v>
      </c>
      <c r="M55">
        <f>SUMIFS(Q$3:Q$41,J$3:J$41,K$53)-INT(COUNTIFS(J$3:J$41,K$53,M$3:M$41,"*gộp*")/2)</f>
        <v>15</v>
      </c>
    </row>
    <row r="56" spans="2:16" x14ac:dyDescent="0.25">
      <c r="K56" t="s">
        <v>155</v>
      </c>
      <c r="L56">
        <f>-M56*2</f>
        <v>-72</v>
      </c>
      <c r="M56">
        <f>E49-(COUNTIFS(M$3:M$41,"*gộp*")/2)-COUNTIFS(M$3:M$41,"*đơn trả*")-COUNTIFS(M$3:M$41,"*hàng tỉnh*")</f>
        <v>36</v>
      </c>
    </row>
    <row r="57" spans="2:16" x14ac:dyDescent="0.25">
      <c r="K57" s="12" t="s">
        <v>157</v>
      </c>
    </row>
    <row r="58" spans="2:16" x14ac:dyDescent="0.25">
      <c r="K58" s="2" t="s">
        <v>160</v>
      </c>
    </row>
    <row r="59" spans="2:16" x14ac:dyDescent="0.25">
      <c r="L59" s="14">
        <f>SUBTOTAL(9,L54:L58)</f>
        <v>11228</v>
      </c>
      <c r="M59" s="14">
        <f>M54</f>
        <v>15</v>
      </c>
    </row>
    <row r="61" spans="2:16" x14ac:dyDescent="0.25">
      <c r="K61" s="11" t="s">
        <v>717</v>
      </c>
      <c r="L61" s="11" t="s">
        <v>146</v>
      </c>
      <c r="M61" s="11" t="s">
        <v>145</v>
      </c>
    </row>
    <row r="62" spans="2:16" x14ac:dyDescent="0.25">
      <c r="K62" t="s">
        <v>150</v>
      </c>
      <c r="L62">
        <f>SUMIFS(G$3:G$41,J$3:J$41,K$61)</f>
        <v>5365</v>
      </c>
      <c r="M62">
        <f>SUMIFS(Q$3:Q$41,J$3:J$41,K$61)-INT(COUNTIFS(J$3:J$41,K$61,M$3:M$41,"*gộp*")/2)</f>
        <v>8</v>
      </c>
    </row>
    <row r="63" spans="2:16" x14ac:dyDescent="0.25">
      <c r="K63" t="s">
        <v>153</v>
      </c>
      <c r="L63">
        <f>SUM(H44:H45)</f>
        <v>-176</v>
      </c>
      <c r="M63">
        <f>SUMIFS(Q$3:Q$41,J$3:J$41,K$61)-INT(COUNTIFS(J$3:J$41,K$61,M$3:M$41,"*gộp*")/2)</f>
        <v>8</v>
      </c>
    </row>
    <row r="64" spans="2:16" x14ac:dyDescent="0.25">
      <c r="K64" t="s">
        <v>155</v>
      </c>
    </row>
    <row r="65" spans="11:13" x14ac:dyDescent="0.25">
      <c r="K65" s="12" t="s">
        <v>157</v>
      </c>
    </row>
    <row r="66" spans="11:13" x14ac:dyDescent="0.25">
      <c r="K66" s="2" t="s">
        <v>160</v>
      </c>
    </row>
    <row r="67" spans="11:13" x14ac:dyDescent="0.25">
      <c r="L67" s="14">
        <f>SUBTOTAL(9,L62:L66)</f>
        <v>5189</v>
      </c>
      <c r="M67" s="14">
        <f>M62</f>
        <v>8</v>
      </c>
    </row>
    <row r="69" spans="11:13" x14ac:dyDescent="0.25">
      <c r="K69" s="11" t="s">
        <v>460</v>
      </c>
      <c r="L69" s="11" t="s">
        <v>146</v>
      </c>
      <c r="M69" s="11" t="s">
        <v>145</v>
      </c>
    </row>
    <row r="70" spans="11:13" x14ac:dyDescent="0.25">
      <c r="K70" t="s">
        <v>150</v>
      </c>
      <c r="L70">
        <f>SUMIFS(G$3:G$41,J$3:J$41,K$69)</f>
        <v>0</v>
      </c>
      <c r="M70">
        <f>SUMIFS(Q$3:Q$41,J$3:J$41,K$69)-INT(COUNTIFS(J$3:J$41,K$69,M$3:M$41,"*gộp*")/2)</f>
        <v>2</v>
      </c>
    </row>
    <row r="71" spans="11:13" x14ac:dyDescent="0.25">
      <c r="K71" t="s">
        <v>153</v>
      </c>
      <c r="L71">
        <f>-SUMIFS(H$3:H$41,J$3:J$41,K$69)+M71*5</f>
        <v>-50</v>
      </c>
      <c r="M71">
        <f>SUMIFS(Q$3:Q$41,J$3:J$41,K$69)-INT(COUNTIFS(J$3:J$41,K$69,M$3:M$41,"*gộp*")/2)</f>
        <v>2</v>
      </c>
    </row>
    <row r="72" spans="11:13" x14ac:dyDescent="0.25">
      <c r="K72" t="s">
        <v>155</v>
      </c>
    </row>
    <row r="73" spans="11:13" x14ac:dyDescent="0.25">
      <c r="K73" s="12" t="s">
        <v>157</v>
      </c>
    </row>
    <row r="74" spans="11:13" x14ac:dyDescent="0.25">
      <c r="K74" s="2" t="s">
        <v>160</v>
      </c>
    </row>
    <row r="75" spans="11:13" x14ac:dyDescent="0.25">
      <c r="L75" s="14">
        <f>SUBTOTAL(9,L70:L74)</f>
        <v>-50</v>
      </c>
      <c r="M75" s="14">
        <f>M70</f>
        <v>2</v>
      </c>
    </row>
  </sheetData>
  <autoFilter ref="A2:P41" xr:uid="{00000000-0009-0000-0000-000007000000}">
    <sortState xmlns:xlrd2="http://schemas.microsoft.com/office/spreadsheetml/2017/richdata2" ref="A3:P41">
      <sortCondition ref="J2:J41"/>
    </sortState>
  </autoFilter>
  <mergeCells count="8">
    <mergeCell ref="C50:D50"/>
    <mergeCell ref="C51:D51"/>
    <mergeCell ref="C53:D53"/>
    <mergeCell ref="C45:D45"/>
    <mergeCell ref="C46:D46"/>
    <mergeCell ref="C47:D47"/>
    <mergeCell ref="C48:D48"/>
    <mergeCell ref="C49:D49"/>
  </mergeCells>
  <pageMargins left="0.75" right="0.75" top="0.75" bottom="0.5" header="0.5" footer="0.7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R87"/>
  <sheetViews>
    <sheetView topLeftCell="A28" zoomScale="90" zoomScaleNormal="90" workbookViewId="0">
      <selection activeCell="G60" sqref="G60"/>
    </sheetView>
  </sheetViews>
  <sheetFormatPr defaultRowHeight="15" x14ac:dyDescent="0.25"/>
  <cols>
    <col min="1" max="1" width="12.7109375" customWidth="1"/>
    <col min="2" max="2" width="8.42578125" customWidth="1"/>
    <col min="3" max="3" width="29.5703125" customWidth="1"/>
    <col min="4" max="4" width="9.85546875" customWidth="1"/>
    <col min="5" max="5" width="98.7109375" customWidth="1"/>
    <col min="6" max="6" width="10.71093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2.5703125" bestFit="1" customWidth="1"/>
    <col min="13" max="13" width="13.85546875" customWidth="1"/>
    <col min="14" max="14" width="9.7109375" customWidth="1"/>
    <col min="15" max="15" width="10.42578125" customWidth="1"/>
    <col min="16" max="16" width="7" bestFit="1" customWidth="1"/>
  </cols>
  <sheetData>
    <row r="2" spans="1:18" x14ac:dyDescent="0.25">
      <c r="A2" s="15" t="s">
        <v>10</v>
      </c>
      <c r="B2" s="15" t="s">
        <v>11</v>
      </c>
      <c r="C2" s="15" t="s">
        <v>12</v>
      </c>
      <c r="D2" s="15" t="s">
        <v>13</v>
      </c>
      <c r="E2" s="15" t="s">
        <v>14</v>
      </c>
      <c r="F2" s="15" t="s">
        <v>15</v>
      </c>
      <c r="G2" s="15" t="s">
        <v>16</v>
      </c>
      <c r="H2" s="15" t="s">
        <v>17</v>
      </c>
      <c r="I2" s="15" t="s">
        <v>18</v>
      </c>
      <c r="J2" s="15" t="s">
        <v>19</v>
      </c>
      <c r="K2" s="15" t="s">
        <v>20</v>
      </c>
      <c r="L2" s="15" t="s">
        <v>21</v>
      </c>
      <c r="M2" s="15" t="s">
        <v>22</v>
      </c>
      <c r="N2" s="15" t="s">
        <v>23</v>
      </c>
      <c r="O2" s="15" t="s">
        <v>24</v>
      </c>
      <c r="P2" s="15" t="s">
        <v>25</v>
      </c>
      <c r="Q2" s="16"/>
    </row>
    <row r="3" spans="1:18" x14ac:dyDescent="0.25">
      <c r="A3" s="16"/>
      <c r="B3" s="16" t="s">
        <v>26</v>
      </c>
      <c r="C3" s="16" t="s">
        <v>808</v>
      </c>
      <c r="D3" s="16" t="s">
        <v>809</v>
      </c>
      <c r="E3" s="16" t="s">
        <v>810</v>
      </c>
      <c r="F3" s="17">
        <v>9</v>
      </c>
      <c r="G3" s="17">
        <v>1220</v>
      </c>
      <c r="H3" s="17">
        <v>30</v>
      </c>
      <c r="I3" s="17">
        <f t="shared" ref="I3:I34" si="0">G3-H3</f>
        <v>1190</v>
      </c>
      <c r="J3" s="16" t="s">
        <v>460</v>
      </c>
      <c r="K3" s="16" t="s">
        <v>32</v>
      </c>
      <c r="L3" s="16" t="s">
        <v>811</v>
      </c>
      <c r="M3" s="16"/>
      <c r="N3" s="16"/>
      <c r="O3" s="16"/>
      <c r="P3" s="16"/>
      <c r="Q3" s="16">
        <v>1</v>
      </c>
    </row>
    <row r="4" spans="1:18" x14ac:dyDescent="0.25">
      <c r="A4" s="16"/>
      <c r="B4" s="16" t="s">
        <v>26</v>
      </c>
      <c r="C4" s="16" t="s">
        <v>812</v>
      </c>
      <c r="D4" s="16" t="s">
        <v>813</v>
      </c>
      <c r="E4" s="16" t="s">
        <v>814</v>
      </c>
      <c r="F4" s="17">
        <v>9</v>
      </c>
      <c r="G4" s="17">
        <v>1620</v>
      </c>
      <c r="H4" s="17">
        <v>30</v>
      </c>
      <c r="I4" s="17">
        <f t="shared" si="0"/>
        <v>1590</v>
      </c>
      <c r="J4" s="16" t="s">
        <v>460</v>
      </c>
      <c r="K4" s="16" t="s">
        <v>32</v>
      </c>
      <c r="L4" s="16" t="s">
        <v>811</v>
      </c>
      <c r="M4" s="16"/>
      <c r="N4" s="16"/>
      <c r="O4" s="16"/>
      <c r="P4" s="16"/>
      <c r="Q4" s="16">
        <v>1</v>
      </c>
    </row>
    <row r="5" spans="1:18" x14ac:dyDescent="0.25">
      <c r="A5" s="16"/>
      <c r="B5" s="16" t="s">
        <v>26</v>
      </c>
      <c r="C5" s="16" t="s">
        <v>815</v>
      </c>
      <c r="D5" s="16" t="s">
        <v>816</v>
      </c>
      <c r="E5" s="16" t="s">
        <v>817</v>
      </c>
      <c r="F5" s="17">
        <v>9</v>
      </c>
      <c r="G5" s="17">
        <v>700</v>
      </c>
      <c r="H5" s="17">
        <v>30</v>
      </c>
      <c r="I5" s="17">
        <f t="shared" si="0"/>
        <v>670</v>
      </c>
      <c r="J5" s="16" t="s">
        <v>460</v>
      </c>
      <c r="K5" s="16" t="s">
        <v>32</v>
      </c>
      <c r="L5" s="16" t="s">
        <v>811</v>
      </c>
      <c r="M5" s="16"/>
      <c r="N5" s="16"/>
      <c r="O5" s="16"/>
      <c r="P5" s="16"/>
      <c r="Q5" s="16">
        <v>1</v>
      </c>
    </row>
    <row r="6" spans="1:18" x14ac:dyDescent="0.25">
      <c r="A6" s="16"/>
      <c r="B6" s="16" t="s">
        <v>26</v>
      </c>
      <c r="C6" s="16" t="s">
        <v>818</v>
      </c>
      <c r="D6" s="16" t="s">
        <v>819</v>
      </c>
      <c r="E6" s="16" t="s">
        <v>820</v>
      </c>
      <c r="F6" s="16" t="s">
        <v>30</v>
      </c>
      <c r="G6" s="17">
        <v>0</v>
      </c>
      <c r="H6" s="17">
        <v>25</v>
      </c>
      <c r="I6" s="17">
        <f t="shared" si="0"/>
        <v>-25</v>
      </c>
      <c r="J6" s="16" t="s">
        <v>821</v>
      </c>
      <c r="K6" s="16" t="s">
        <v>32</v>
      </c>
      <c r="L6" s="16" t="s">
        <v>811</v>
      </c>
      <c r="M6" s="16"/>
      <c r="N6" s="16"/>
      <c r="O6" s="16"/>
      <c r="P6" s="16"/>
      <c r="Q6" s="16">
        <v>1</v>
      </c>
      <c r="R6" s="10">
        <f>H6</f>
        <v>25</v>
      </c>
    </row>
    <row r="7" spans="1:18" x14ac:dyDescent="0.25">
      <c r="A7" s="16"/>
      <c r="B7" s="16" t="s">
        <v>26</v>
      </c>
      <c r="C7" s="16" t="s">
        <v>822</v>
      </c>
      <c r="D7" s="16" t="s">
        <v>823</v>
      </c>
      <c r="E7" s="16" t="s">
        <v>824</v>
      </c>
      <c r="F7" s="16" t="s">
        <v>51</v>
      </c>
      <c r="G7" s="17">
        <v>770</v>
      </c>
      <c r="H7" s="17">
        <v>30</v>
      </c>
      <c r="I7" s="17">
        <f t="shared" si="0"/>
        <v>740</v>
      </c>
      <c r="J7" s="16" t="s">
        <v>821</v>
      </c>
      <c r="K7" s="16" t="s">
        <v>32</v>
      </c>
      <c r="L7" s="16" t="s">
        <v>811</v>
      </c>
      <c r="M7" s="16"/>
      <c r="N7" s="16"/>
      <c r="O7" s="16"/>
      <c r="P7" s="16"/>
      <c r="Q7" s="16">
        <v>1</v>
      </c>
    </row>
    <row r="8" spans="1:18" x14ac:dyDescent="0.25">
      <c r="A8" s="16"/>
      <c r="B8" s="16" t="s">
        <v>26</v>
      </c>
      <c r="C8" s="16" t="s">
        <v>825</v>
      </c>
      <c r="D8" s="16" t="s">
        <v>826</v>
      </c>
      <c r="E8" s="16" t="s">
        <v>827</v>
      </c>
      <c r="F8" s="17">
        <v>12</v>
      </c>
      <c r="G8" s="17">
        <v>0</v>
      </c>
      <c r="H8" s="17">
        <v>30</v>
      </c>
      <c r="I8" s="17">
        <f t="shared" si="0"/>
        <v>-30</v>
      </c>
      <c r="J8" s="16" t="s">
        <v>821</v>
      </c>
      <c r="K8" s="16" t="s">
        <v>32</v>
      </c>
      <c r="L8" s="16" t="s">
        <v>811</v>
      </c>
      <c r="M8" s="16"/>
      <c r="N8" s="16"/>
      <c r="O8" s="16"/>
      <c r="P8" s="16"/>
      <c r="Q8" s="16">
        <v>1</v>
      </c>
      <c r="R8" s="10">
        <f>H8</f>
        <v>30</v>
      </c>
    </row>
    <row r="9" spans="1:18" x14ac:dyDescent="0.25">
      <c r="A9" s="16"/>
      <c r="B9" s="16" t="s">
        <v>26</v>
      </c>
      <c r="C9" s="16" t="s">
        <v>828</v>
      </c>
      <c r="D9" s="16" t="s">
        <v>829</v>
      </c>
      <c r="E9" s="16" t="s">
        <v>830</v>
      </c>
      <c r="F9" s="16" t="s">
        <v>51</v>
      </c>
      <c r="G9" s="17">
        <v>0</v>
      </c>
      <c r="H9" s="17">
        <v>30</v>
      </c>
      <c r="I9" s="17">
        <f t="shared" si="0"/>
        <v>-30</v>
      </c>
      <c r="J9" s="16" t="s">
        <v>821</v>
      </c>
      <c r="K9" s="16" t="s">
        <v>32</v>
      </c>
      <c r="L9" s="16" t="s">
        <v>811</v>
      </c>
      <c r="M9" s="16"/>
      <c r="N9" s="16"/>
      <c r="O9" s="16"/>
      <c r="P9" s="16"/>
      <c r="Q9" s="16">
        <v>1</v>
      </c>
      <c r="R9" s="10">
        <f>H9</f>
        <v>30</v>
      </c>
    </row>
    <row r="10" spans="1:18" x14ac:dyDescent="0.25">
      <c r="A10" s="16"/>
      <c r="B10" s="16" t="s">
        <v>26</v>
      </c>
      <c r="C10" s="16" t="s">
        <v>831</v>
      </c>
      <c r="D10" s="16" t="s">
        <v>832</v>
      </c>
      <c r="E10" s="16" t="s">
        <v>833</v>
      </c>
      <c r="F10" s="16" t="s">
        <v>30</v>
      </c>
      <c r="G10" s="17">
        <v>875</v>
      </c>
      <c r="H10" s="17">
        <v>25</v>
      </c>
      <c r="I10" s="17">
        <f t="shared" si="0"/>
        <v>850</v>
      </c>
      <c r="J10" s="16" t="s">
        <v>821</v>
      </c>
      <c r="K10" s="16" t="s">
        <v>32</v>
      </c>
      <c r="L10" s="16" t="s">
        <v>811</v>
      </c>
      <c r="M10" s="16"/>
      <c r="N10" s="16"/>
      <c r="O10" s="16"/>
      <c r="P10" s="16"/>
      <c r="Q10" s="16">
        <v>1</v>
      </c>
    </row>
    <row r="11" spans="1:18" x14ac:dyDescent="0.25">
      <c r="A11" s="16"/>
      <c r="B11" s="16" t="s">
        <v>26</v>
      </c>
      <c r="C11" s="16" t="s">
        <v>834</v>
      </c>
      <c r="D11" s="16" t="s">
        <v>835</v>
      </c>
      <c r="E11" s="16" t="s">
        <v>836</v>
      </c>
      <c r="F11" s="16" t="s">
        <v>93</v>
      </c>
      <c r="G11" s="17">
        <v>515</v>
      </c>
      <c r="H11" s="17">
        <v>25</v>
      </c>
      <c r="I11" s="17">
        <f t="shared" si="0"/>
        <v>490</v>
      </c>
      <c r="J11" s="16" t="s">
        <v>821</v>
      </c>
      <c r="K11" s="16" t="s">
        <v>32</v>
      </c>
      <c r="L11" s="16" t="s">
        <v>811</v>
      </c>
      <c r="M11" s="16"/>
      <c r="N11" s="16"/>
      <c r="O11" s="16"/>
      <c r="P11" s="16"/>
      <c r="Q11" s="16">
        <v>1</v>
      </c>
    </row>
    <row r="12" spans="1:18" x14ac:dyDescent="0.25">
      <c r="A12" s="16"/>
      <c r="B12" s="16" t="s">
        <v>26</v>
      </c>
      <c r="C12" s="16" t="s">
        <v>837</v>
      </c>
      <c r="D12" s="16" t="s">
        <v>838</v>
      </c>
      <c r="E12" s="16" t="s">
        <v>839</v>
      </c>
      <c r="F12" s="17">
        <v>12</v>
      </c>
      <c r="G12" s="17">
        <v>1220</v>
      </c>
      <c r="H12" s="17">
        <v>30</v>
      </c>
      <c r="I12" s="17">
        <f t="shared" si="0"/>
        <v>1190</v>
      </c>
      <c r="J12" s="16" t="s">
        <v>821</v>
      </c>
      <c r="K12" s="16" t="s">
        <v>32</v>
      </c>
      <c r="L12" s="16" t="s">
        <v>811</v>
      </c>
      <c r="M12" s="16"/>
      <c r="N12" s="16"/>
      <c r="O12" s="16"/>
      <c r="P12" s="16"/>
      <c r="Q12" s="16">
        <v>1</v>
      </c>
    </row>
    <row r="13" spans="1:18" x14ac:dyDescent="0.25">
      <c r="A13" s="16"/>
      <c r="B13" s="16" t="s">
        <v>26</v>
      </c>
      <c r="C13" s="16" t="s">
        <v>840</v>
      </c>
      <c r="D13" s="16" t="s">
        <v>841</v>
      </c>
      <c r="E13" s="16" t="s">
        <v>842</v>
      </c>
      <c r="F13" s="16" t="s">
        <v>51</v>
      </c>
      <c r="G13" s="17">
        <v>950</v>
      </c>
      <c r="H13" s="17">
        <v>30</v>
      </c>
      <c r="I13" s="17">
        <f t="shared" si="0"/>
        <v>920</v>
      </c>
      <c r="J13" s="16" t="s">
        <v>821</v>
      </c>
      <c r="K13" s="16" t="s">
        <v>32</v>
      </c>
      <c r="L13" s="16" t="s">
        <v>811</v>
      </c>
      <c r="M13" s="16"/>
      <c r="N13" s="16"/>
      <c r="O13" s="16"/>
      <c r="P13" s="16"/>
      <c r="Q13" s="16">
        <v>1</v>
      </c>
    </row>
    <row r="14" spans="1:18" x14ac:dyDescent="0.25">
      <c r="A14" s="16"/>
      <c r="B14" s="16" t="s">
        <v>26</v>
      </c>
      <c r="C14" s="16" t="s">
        <v>843</v>
      </c>
      <c r="D14" s="16" t="s">
        <v>844</v>
      </c>
      <c r="E14" s="16" t="s">
        <v>845</v>
      </c>
      <c r="F14" s="16" t="s">
        <v>51</v>
      </c>
      <c r="G14" s="17">
        <v>1130</v>
      </c>
      <c r="H14" s="17">
        <v>30</v>
      </c>
      <c r="I14" s="17">
        <f t="shared" si="0"/>
        <v>1100</v>
      </c>
      <c r="J14" s="16" t="s">
        <v>821</v>
      </c>
      <c r="K14" s="16" t="s">
        <v>32</v>
      </c>
      <c r="L14" s="16" t="s">
        <v>811</v>
      </c>
      <c r="M14" s="16"/>
      <c r="N14" s="16"/>
      <c r="O14" s="16"/>
      <c r="P14" s="16"/>
      <c r="Q14" s="16">
        <v>1</v>
      </c>
    </row>
    <row r="15" spans="1:18" x14ac:dyDescent="0.25">
      <c r="A15" s="16"/>
      <c r="B15" s="16" t="s">
        <v>26</v>
      </c>
      <c r="C15" s="16" t="s">
        <v>846</v>
      </c>
      <c r="D15" s="16" t="s">
        <v>847</v>
      </c>
      <c r="E15" s="16" t="s">
        <v>848</v>
      </c>
      <c r="F15" s="16" t="s">
        <v>51</v>
      </c>
      <c r="G15" s="17">
        <v>0</v>
      </c>
      <c r="H15" s="17">
        <v>30</v>
      </c>
      <c r="I15" s="17">
        <f t="shared" si="0"/>
        <v>-30</v>
      </c>
      <c r="J15" s="16" t="s">
        <v>821</v>
      </c>
      <c r="K15" s="16" t="s">
        <v>32</v>
      </c>
      <c r="L15" s="16" t="s">
        <v>811</v>
      </c>
      <c r="M15" s="16"/>
      <c r="N15" s="16"/>
      <c r="O15" s="16"/>
      <c r="P15" s="16"/>
      <c r="Q15" s="16">
        <v>1</v>
      </c>
      <c r="R15" s="10">
        <f>H15</f>
        <v>30</v>
      </c>
    </row>
    <row r="16" spans="1:18" x14ac:dyDescent="0.25">
      <c r="A16" s="16"/>
      <c r="B16" s="16" t="s">
        <v>26</v>
      </c>
      <c r="C16" s="16" t="s">
        <v>849</v>
      </c>
      <c r="D16" s="16" t="s">
        <v>850</v>
      </c>
      <c r="E16" s="16" t="s">
        <v>851</v>
      </c>
      <c r="F16" s="17">
        <v>8</v>
      </c>
      <c r="G16" s="17">
        <v>850</v>
      </c>
      <c r="H16" s="17">
        <v>30</v>
      </c>
      <c r="I16" s="17">
        <f t="shared" si="0"/>
        <v>820</v>
      </c>
      <c r="J16" s="16" t="s">
        <v>821</v>
      </c>
      <c r="K16" s="16" t="s">
        <v>32</v>
      </c>
      <c r="L16" s="16" t="s">
        <v>811</v>
      </c>
      <c r="M16" s="16"/>
      <c r="N16" s="16"/>
      <c r="O16" s="16"/>
      <c r="P16" s="16"/>
      <c r="Q16" s="16">
        <v>1</v>
      </c>
    </row>
    <row r="17" spans="1:18" x14ac:dyDescent="0.25">
      <c r="A17" s="16"/>
      <c r="B17" s="16" t="s">
        <v>26</v>
      </c>
      <c r="C17" s="16" t="s">
        <v>852</v>
      </c>
      <c r="D17" s="16" t="s">
        <v>853</v>
      </c>
      <c r="E17" s="16" t="s">
        <v>854</v>
      </c>
      <c r="F17" s="16" t="s">
        <v>168</v>
      </c>
      <c r="G17" s="17">
        <v>1855</v>
      </c>
      <c r="H17" s="17">
        <v>35</v>
      </c>
      <c r="I17" s="17">
        <f t="shared" si="0"/>
        <v>1820</v>
      </c>
      <c r="J17" s="16" t="s">
        <v>821</v>
      </c>
      <c r="K17" s="16" t="s">
        <v>32</v>
      </c>
      <c r="L17" s="16" t="s">
        <v>811</v>
      </c>
      <c r="M17" s="16"/>
      <c r="N17" s="16"/>
      <c r="O17" s="16"/>
      <c r="P17" s="16"/>
      <c r="Q17" s="16">
        <v>1</v>
      </c>
    </row>
    <row r="18" spans="1:18" x14ac:dyDescent="0.25">
      <c r="A18" s="16"/>
      <c r="B18" s="16" t="s">
        <v>26</v>
      </c>
      <c r="C18" s="16" t="s">
        <v>855</v>
      </c>
      <c r="D18" s="16" t="s">
        <v>856</v>
      </c>
      <c r="E18" s="16" t="s">
        <v>857</v>
      </c>
      <c r="F18" s="16" t="s">
        <v>30</v>
      </c>
      <c r="G18" s="17">
        <v>715</v>
      </c>
      <c r="H18" s="17">
        <v>25</v>
      </c>
      <c r="I18" s="17">
        <f t="shared" si="0"/>
        <v>690</v>
      </c>
      <c r="J18" s="16" t="s">
        <v>821</v>
      </c>
      <c r="K18" s="16" t="s">
        <v>32</v>
      </c>
      <c r="L18" s="16" t="s">
        <v>811</v>
      </c>
      <c r="M18" s="16"/>
      <c r="N18" s="16"/>
      <c r="O18" s="16"/>
      <c r="P18" s="16"/>
      <c r="Q18" s="16">
        <v>1</v>
      </c>
    </row>
    <row r="19" spans="1:18" x14ac:dyDescent="0.25">
      <c r="A19" s="16"/>
      <c r="B19" s="16" t="s">
        <v>26</v>
      </c>
      <c r="C19" s="16" t="s">
        <v>858</v>
      </c>
      <c r="D19" s="16" t="s">
        <v>859</v>
      </c>
      <c r="E19" s="16" t="s">
        <v>860</v>
      </c>
      <c r="F19" s="16" t="s">
        <v>30</v>
      </c>
      <c r="G19" s="17">
        <v>995</v>
      </c>
      <c r="H19" s="17">
        <v>25</v>
      </c>
      <c r="I19" s="17">
        <f t="shared" si="0"/>
        <v>970</v>
      </c>
      <c r="J19" s="16" t="s">
        <v>821</v>
      </c>
      <c r="K19" s="16" t="s">
        <v>32</v>
      </c>
      <c r="L19" s="16" t="s">
        <v>811</v>
      </c>
      <c r="M19" s="16"/>
      <c r="N19" s="16"/>
      <c r="O19" s="16"/>
      <c r="P19" s="16"/>
      <c r="Q19" s="16">
        <v>1</v>
      </c>
    </row>
    <row r="20" spans="1:18" x14ac:dyDescent="0.25">
      <c r="A20" s="16" t="s">
        <v>141</v>
      </c>
      <c r="B20" s="16" t="s">
        <v>26</v>
      </c>
      <c r="C20" s="16" t="s">
        <v>398</v>
      </c>
      <c r="D20" s="16"/>
      <c r="E20" s="16" t="s">
        <v>861</v>
      </c>
      <c r="F20" s="17">
        <v>6</v>
      </c>
      <c r="G20" s="17">
        <v>50</v>
      </c>
      <c r="H20" s="17">
        <v>50</v>
      </c>
      <c r="I20" s="17">
        <f t="shared" si="0"/>
        <v>0</v>
      </c>
      <c r="J20" s="16" t="s">
        <v>821</v>
      </c>
      <c r="K20" s="16" t="s">
        <v>32</v>
      </c>
      <c r="L20" s="16" t="s">
        <v>811</v>
      </c>
      <c r="M20" s="16"/>
      <c r="N20" s="16"/>
      <c r="O20" s="16"/>
      <c r="P20" s="16"/>
      <c r="Q20" s="16">
        <v>1</v>
      </c>
    </row>
    <row r="21" spans="1:18" x14ac:dyDescent="0.25">
      <c r="A21" s="16"/>
      <c r="B21" s="16" t="s">
        <v>26</v>
      </c>
      <c r="C21" s="16" t="s">
        <v>862</v>
      </c>
      <c r="D21" s="16" t="s">
        <v>863</v>
      </c>
      <c r="E21" s="16" t="s">
        <v>864</v>
      </c>
      <c r="F21" s="17">
        <v>2</v>
      </c>
      <c r="G21" s="17">
        <v>940</v>
      </c>
      <c r="H21" s="17">
        <v>30</v>
      </c>
      <c r="I21" s="17">
        <f t="shared" si="0"/>
        <v>910</v>
      </c>
      <c r="J21" s="16" t="s">
        <v>32</v>
      </c>
      <c r="K21" s="16" t="s">
        <v>32</v>
      </c>
      <c r="L21" s="16" t="s">
        <v>811</v>
      </c>
      <c r="M21" s="16"/>
      <c r="N21" s="16"/>
      <c r="O21" s="16"/>
      <c r="P21" s="16"/>
      <c r="Q21" s="16">
        <v>1</v>
      </c>
    </row>
    <row r="22" spans="1:18" x14ac:dyDescent="0.25">
      <c r="A22" s="16"/>
      <c r="B22" s="16" t="s">
        <v>26</v>
      </c>
      <c r="C22" s="16" t="s">
        <v>865</v>
      </c>
      <c r="D22" s="16" t="s">
        <v>866</v>
      </c>
      <c r="E22" s="16" t="s">
        <v>867</v>
      </c>
      <c r="F22" s="16" t="s">
        <v>93</v>
      </c>
      <c r="G22" s="17">
        <v>0</v>
      </c>
      <c r="H22" s="17">
        <v>25</v>
      </c>
      <c r="I22" s="17">
        <f t="shared" si="0"/>
        <v>-25</v>
      </c>
      <c r="J22" s="16" t="s">
        <v>32</v>
      </c>
      <c r="K22" s="16" t="s">
        <v>32</v>
      </c>
      <c r="L22" s="16" t="s">
        <v>811</v>
      </c>
      <c r="M22" s="16"/>
      <c r="N22" s="16"/>
      <c r="O22" s="16"/>
      <c r="P22" s="16"/>
      <c r="Q22" s="16">
        <v>1</v>
      </c>
      <c r="R22" s="10">
        <f>H22</f>
        <v>25</v>
      </c>
    </row>
    <row r="23" spans="1:18" x14ac:dyDescent="0.25">
      <c r="A23" s="16"/>
      <c r="B23" s="16" t="s">
        <v>26</v>
      </c>
      <c r="C23" s="16" t="s">
        <v>868</v>
      </c>
      <c r="D23" s="16" t="s">
        <v>869</v>
      </c>
      <c r="E23" s="16" t="s">
        <v>870</v>
      </c>
      <c r="F23" s="16" t="s">
        <v>75</v>
      </c>
      <c r="G23" s="17">
        <v>870</v>
      </c>
      <c r="H23" s="17">
        <v>20</v>
      </c>
      <c r="I23" s="17">
        <f t="shared" si="0"/>
        <v>850</v>
      </c>
      <c r="J23" s="16" t="s">
        <v>32</v>
      </c>
      <c r="K23" s="16" t="s">
        <v>32</v>
      </c>
      <c r="L23" s="16" t="s">
        <v>811</v>
      </c>
      <c r="M23" s="16"/>
      <c r="N23" s="16"/>
      <c r="O23" s="16"/>
      <c r="P23" s="16"/>
      <c r="Q23" s="16">
        <v>1</v>
      </c>
    </row>
    <row r="24" spans="1:18" x14ac:dyDescent="0.25">
      <c r="A24" s="16"/>
      <c r="B24" s="16" t="s">
        <v>26</v>
      </c>
      <c r="C24" s="16" t="s">
        <v>871</v>
      </c>
      <c r="D24" s="16" t="s">
        <v>872</v>
      </c>
      <c r="E24" s="16" t="s">
        <v>873</v>
      </c>
      <c r="F24" s="16" t="s">
        <v>93</v>
      </c>
      <c r="G24" s="17">
        <v>0</v>
      </c>
      <c r="H24" s="17">
        <v>25</v>
      </c>
      <c r="I24" s="17">
        <f t="shared" si="0"/>
        <v>-25</v>
      </c>
      <c r="J24" s="16" t="s">
        <v>32</v>
      </c>
      <c r="K24" s="16" t="s">
        <v>32</v>
      </c>
      <c r="L24" s="16" t="s">
        <v>811</v>
      </c>
      <c r="M24" s="16"/>
      <c r="N24" s="16"/>
      <c r="O24" s="16"/>
      <c r="P24" s="16"/>
      <c r="Q24" s="16">
        <v>1</v>
      </c>
      <c r="R24" s="10">
        <f>H24</f>
        <v>25</v>
      </c>
    </row>
    <row r="25" spans="1:18" x14ac:dyDescent="0.25">
      <c r="A25" s="16"/>
      <c r="B25" s="16" t="s">
        <v>26</v>
      </c>
      <c r="C25" s="16" t="s">
        <v>874</v>
      </c>
      <c r="D25" s="16" t="s">
        <v>875</v>
      </c>
      <c r="E25" s="16" t="s">
        <v>876</v>
      </c>
      <c r="F25" s="16" t="s">
        <v>89</v>
      </c>
      <c r="G25" s="17">
        <v>550</v>
      </c>
      <c r="H25" s="17">
        <v>30</v>
      </c>
      <c r="I25" s="17">
        <f t="shared" si="0"/>
        <v>520</v>
      </c>
      <c r="J25" s="16" t="s">
        <v>32</v>
      </c>
      <c r="K25" s="16" t="s">
        <v>32</v>
      </c>
      <c r="L25" s="16" t="s">
        <v>811</v>
      </c>
      <c r="M25" s="16"/>
      <c r="N25" s="16"/>
      <c r="O25" s="16"/>
      <c r="P25" s="16"/>
      <c r="Q25" s="16">
        <v>1</v>
      </c>
    </row>
    <row r="26" spans="1:18" x14ac:dyDescent="0.25">
      <c r="A26" s="16"/>
      <c r="B26" s="16" t="s">
        <v>26</v>
      </c>
      <c r="C26" s="16" t="s">
        <v>877</v>
      </c>
      <c r="D26" s="16" t="s">
        <v>878</v>
      </c>
      <c r="E26" s="16" t="s">
        <v>879</v>
      </c>
      <c r="F26" s="16" t="s">
        <v>82</v>
      </c>
      <c r="G26" s="17">
        <v>1355</v>
      </c>
      <c r="H26" s="17">
        <v>25</v>
      </c>
      <c r="I26" s="17">
        <f t="shared" si="0"/>
        <v>1330</v>
      </c>
      <c r="J26" s="16" t="s">
        <v>32</v>
      </c>
      <c r="K26" s="16" t="s">
        <v>32</v>
      </c>
      <c r="L26" s="16" t="s">
        <v>811</v>
      </c>
      <c r="M26" s="16"/>
      <c r="N26" s="16"/>
      <c r="O26" s="16"/>
      <c r="P26" s="16"/>
      <c r="Q26" s="16">
        <v>1</v>
      </c>
    </row>
    <row r="27" spans="1:18" x14ac:dyDescent="0.25">
      <c r="A27" s="16"/>
      <c r="B27" s="16" t="s">
        <v>26</v>
      </c>
      <c r="C27" s="16" t="s">
        <v>880</v>
      </c>
      <c r="D27" s="16" t="s">
        <v>881</v>
      </c>
      <c r="E27" s="16" t="s">
        <v>882</v>
      </c>
      <c r="F27" s="17">
        <v>2</v>
      </c>
      <c r="G27" s="17">
        <v>870</v>
      </c>
      <c r="H27" s="17">
        <v>30</v>
      </c>
      <c r="I27" s="17">
        <f t="shared" si="0"/>
        <v>840</v>
      </c>
      <c r="J27" s="16" t="s">
        <v>32</v>
      </c>
      <c r="K27" s="16" t="s">
        <v>32</v>
      </c>
      <c r="L27" s="16" t="s">
        <v>811</v>
      </c>
      <c r="M27" s="16"/>
      <c r="N27" s="16"/>
      <c r="O27" s="16"/>
      <c r="P27" s="16"/>
      <c r="Q27" s="16">
        <v>1</v>
      </c>
    </row>
    <row r="28" spans="1:18" x14ac:dyDescent="0.25">
      <c r="A28" s="16"/>
      <c r="B28" s="16" t="s">
        <v>26</v>
      </c>
      <c r="C28" s="16" t="s">
        <v>883</v>
      </c>
      <c r="D28" s="16" t="s">
        <v>884</v>
      </c>
      <c r="E28" s="16" t="s">
        <v>885</v>
      </c>
      <c r="F28" s="16" t="s">
        <v>75</v>
      </c>
      <c r="G28" s="17">
        <v>990</v>
      </c>
      <c r="H28" s="17">
        <v>20</v>
      </c>
      <c r="I28" s="17">
        <f t="shared" si="0"/>
        <v>970</v>
      </c>
      <c r="J28" s="16" t="s">
        <v>32</v>
      </c>
      <c r="K28" s="16" t="s">
        <v>32</v>
      </c>
      <c r="L28" s="16" t="s">
        <v>811</v>
      </c>
      <c r="M28" s="16"/>
      <c r="N28" s="16"/>
      <c r="O28" s="16"/>
      <c r="P28" s="16"/>
      <c r="Q28" s="16">
        <v>1</v>
      </c>
    </row>
    <row r="29" spans="1:18" x14ac:dyDescent="0.25">
      <c r="A29" s="16"/>
      <c r="B29" s="16" t="s">
        <v>26</v>
      </c>
      <c r="C29" s="16" t="s">
        <v>886</v>
      </c>
      <c r="D29" s="16" t="s">
        <v>887</v>
      </c>
      <c r="E29" s="16" t="s">
        <v>888</v>
      </c>
      <c r="F29" s="17">
        <v>2</v>
      </c>
      <c r="G29" s="17">
        <v>1400</v>
      </c>
      <c r="H29" s="17">
        <v>30</v>
      </c>
      <c r="I29" s="17">
        <f t="shared" si="0"/>
        <v>1370</v>
      </c>
      <c r="J29" s="16" t="s">
        <v>32</v>
      </c>
      <c r="K29" s="16" t="s">
        <v>32</v>
      </c>
      <c r="L29" s="16" t="s">
        <v>811</v>
      </c>
      <c r="M29" s="16"/>
      <c r="N29" s="16"/>
      <c r="O29" s="16"/>
      <c r="P29" s="16"/>
      <c r="Q29" s="16">
        <v>1</v>
      </c>
    </row>
    <row r="30" spans="1:18" x14ac:dyDescent="0.25">
      <c r="A30" s="16"/>
      <c r="B30" s="16" t="s">
        <v>26</v>
      </c>
      <c r="C30" s="16" t="s">
        <v>889</v>
      </c>
      <c r="D30" s="16" t="s">
        <v>890</v>
      </c>
      <c r="E30" s="16" t="s">
        <v>891</v>
      </c>
      <c r="F30" s="16" t="s">
        <v>82</v>
      </c>
      <c r="G30" s="17">
        <v>1515</v>
      </c>
      <c r="H30" s="17">
        <v>25</v>
      </c>
      <c r="I30" s="17">
        <f t="shared" si="0"/>
        <v>1490</v>
      </c>
      <c r="J30" s="16" t="s">
        <v>32</v>
      </c>
      <c r="K30" s="16" t="s">
        <v>32</v>
      </c>
      <c r="L30" s="16" t="s">
        <v>811</v>
      </c>
      <c r="M30" s="16"/>
      <c r="N30" s="16"/>
      <c r="O30" s="16"/>
      <c r="P30" s="16"/>
      <c r="Q30" s="16">
        <v>1</v>
      </c>
    </row>
    <row r="31" spans="1:18" x14ac:dyDescent="0.25">
      <c r="A31" s="16"/>
      <c r="B31" s="16" t="s">
        <v>26</v>
      </c>
      <c r="C31" s="16" t="s">
        <v>892</v>
      </c>
      <c r="D31" s="16" t="s">
        <v>893</v>
      </c>
      <c r="E31" s="16" t="s">
        <v>894</v>
      </c>
      <c r="F31" s="17">
        <v>2</v>
      </c>
      <c r="G31" s="17">
        <v>0</v>
      </c>
      <c r="H31" s="17">
        <v>30</v>
      </c>
      <c r="I31" s="17">
        <f t="shared" si="0"/>
        <v>-30</v>
      </c>
      <c r="J31" s="16" t="s">
        <v>32</v>
      </c>
      <c r="K31" s="16" t="s">
        <v>32</v>
      </c>
      <c r="L31" s="16" t="s">
        <v>811</v>
      </c>
      <c r="M31" s="16"/>
      <c r="N31" s="16"/>
      <c r="O31" s="16"/>
      <c r="P31" s="16"/>
      <c r="Q31" s="16">
        <v>1</v>
      </c>
      <c r="R31" s="10">
        <f>H31</f>
        <v>30</v>
      </c>
    </row>
    <row r="32" spans="1:18" x14ac:dyDescent="0.25">
      <c r="A32" s="16"/>
      <c r="B32" s="16" t="s">
        <v>26</v>
      </c>
      <c r="C32" s="16" t="s">
        <v>895</v>
      </c>
      <c r="D32" s="16" t="s">
        <v>896</v>
      </c>
      <c r="E32" s="16" t="s">
        <v>897</v>
      </c>
      <c r="F32" s="16" t="s">
        <v>89</v>
      </c>
      <c r="G32" s="17">
        <v>1950</v>
      </c>
      <c r="H32" s="17">
        <v>30</v>
      </c>
      <c r="I32" s="17">
        <f t="shared" si="0"/>
        <v>1920</v>
      </c>
      <c r="J32" s="16" t="s">
        <v>32</v>
      </c>
      <c r="K32" s="16" t="s">
        <v>32</v>
      </c>
      <c r="L32" s="16" t="s">
        <v>811</v>
      </c>
      <c r="M32" s="16"/>
      <c r="N32" s="16"/>
      <c r="O32" s="16"/>
      <c r="P32" s="16"/>
      <c r="Q32" s="16">
        <v>1</v>
      </c>
    </row>
    <row r="33" spans="1:18" x14ac:dyDescent="0.25">
      <c r="A33" s="16"/>
      <c r="B33" s="16" t="s">
        <v>26</v>
      </c>
      <c r="C33" s="16" t="s">
        <v>311</v>
      </c>
      <c r="D33" s="16" t="s">
        <v>898</v>
      </c>
      <c r="E33" s="16" t="s">
        <v>313</v>
      </c>
      <c r="F33" s="16" t="s">
        <v>75</v>
      </c>
      <c r="G33" s="17">
        <v>0</v>
      </c>
      <c r="H33" s="17">
        <v>20</v>
      </c>
      <c r="I33" s="17">
        <f t="shared" si="0"/>
        <v>-20</v>
      </c>
      <c r="J33" s="16" t="s">
        <v>32</v>
      </c>
      <c r="K33" s="16" t="s">
        <v>32</v>
      </c>
      <c r="L33" s="16" t="s">
        <v>811</v>
      </c>
      <c r="M33" s="16"/>
      <c r="N33" s="16"/>
      <c r="O33" s="16"/>
      <c r="P33" s="16"/>
      <c r="Q33" s="16">
        <v>1</v>
      </c>
      <c r="R33" s="10">
        <f>H33</f>
        <v>20</v>
      </c>
    </row>
    <row r="34" spans="1:18" x14ac:dyDescent="0.25">
      <c r="A34" s="16"/>
      <c r="B34" s="16" t="s">
        <v>26</v>
      </c>
      <c r="C34" s="16" t="s">
        <v>509</v>
      </c>
      <c r="D34" s="16" t="s">
        <v>899</v>
      </c>
      <c r="E34" s="16" t="s">
        <v>511</v>
      </c>
      <c r="F34" s="16" t="s">
        <v>75</v>
      </c>
      <c r="G34" s="17">
        <v>0</v>
      </c>
      <c r="H34" s="17">
        <v>20</v>
      </c>
      <c r="I34" s="17">
        <f t="shared" si="0"/>
        <v>-20</v>
      </c>
      <c r="J34" s="16" t="s">
        <v>32</v>
      </c>
      <c r="K34" s="16" t="s">
        <v>32</v>
      </c>
      <c r="L34" s="16" t="s">
        <v>811</v>
      </c>
      <c r="M34" s="16"/>
      <c r="N34" s="16"/>
      <c r="O34" s="16"/>
      <c r="P34" s="16"/>
      <c r="Q34" s="16">
        <v>1</v>
      </c>
      <c r="R34" s="10">
        <f>H34</f>
        <v>20</v>
      </c>
    </row>
    <row r="35" spans="1:18" x14ac:dyDescent="0.25">
      <c r="A35" s="16" t="s">
        <v>141</v>
      </c>
      <c r="B35" s="16" t="s">
        <v>26</v>
      </c>
      <c r="C35" s="16" t="s">
        <v>900</v>
      </c>
      <c r="D35" s="16"/>
      <c r="E35" s="16" t="s">
        <v>901</v>
      </c>
      <c r="F35" s="17">
        <v>12</v>
      </c>
      <c r="G35" s="17">
        <v>35</v>
      </c>
      <c r="H35" s="17">
        <v>35</v>
      </c>
      <c r="I35" s="17">
        <f t="shared" ref="I35:I53" si="1">G35-H35</f>
        <v>0</v>
      </c>
      <c r="J35" s="16" t="s">
        <v>32</v>
      </c>
      <c r="K35" s="16" t="s">
        <v>32</v>
      </c>
      <c r="L35" s="16" t="s">
        <v>811</v>
      </c>
      <c r="M35" s="16"/>
      <c r="N35" s="16"/>
      <c r="O35" s="16"/>
      <c r="P35" s="16"/>
      <c r="Q35" s="16">
        <v>1</v>
      </c>
    </row>
    <row r="36" spans="1:18" x14ac:dyDescent="0.25">
      <c r="A36" s="16"/>
      <c r="B36" s="16" t="s">
        <v>26</v>
      </c>
      <c r="C36" s="16" t="s">
        <v>902</v>
      </c>
      <c r="D36" s="16" t="s">
        <v>903</v>
      </c>
      <c r="E36" s="16" t="s">
        <v>904</v>
      </c>
      <c r="F36" s="17">
        <v>10</v>
      </c>
      <c r="G36" s="17">
        <v>2230</v>
      </c>
      <c r="H36" s="17">
        <v>30</v>
      </c>
      <c r="I36" s="17">
        <f t="shared" si="1"/>
        <v>2200</v>
      </c>
      <c r="J36" s="16" t="s">
        <v>103</v>
      </c>
      <c r="K36" s="16" t="s">
        <v>32</v>
      </c>
      <c r="L36" s="16" t="s">
        <v>811</v>
      </c>
      <c r="M36" s="18" t="s">
        <v>55</v>
      </c>
      <c r="N36" s="16"/>
      <c r="O36" s="16"/>
      <c r="P36" s="16"/>
      <c r="Q36" s="16">
        <v>1</v>
      </c>
      <c r="R36" s="10">
        <f>H36</f>
        <v>30</v>
      </c>
    </row>
    <row r="37" spans="1:18" x14ac:dyDescent="0.25">
      <c r="A37" s="16"/>
      <c r="B37" s="16" t="s">
        <v>26</v>
      </c>
      <c r="C37" s="16" t="s">
        <v>905</v>
      </c>
      <c r="D37" s="16" t="s">
        <v>906</v>
      </c>
      <c r="E37" s="16" t="s">
        <v>907</v>
      </c>
      <c r="F37" s="17">
        <v>3</v>
      </c>
      <c r="G37" s="17">
        <v>805</v>
      </c>
      <c r="H37" s="17">
        <v>25</v>
      </c>
      <c r="I37" s="17">
        <f t="shared" si="1"/>
        <v>780</v>
      </c>
      <c r="J37" s="16" t="s">
        <v>103</v>
      </c>
      <c r="K37" s="16" t="s">
        <v>32</v>
      </c>
      <c r="L37" s="16" t="s">
        <v>811</v>
      </c>
      <c r="M37" s="16"/>
      <c r="N37" s="16"/>
      <c r="O37" s="16"/>
      <c r="P37" s="16"/>
      <c r="Q37" s="16">
        <v>1</v>
      </c>
    </row>
    <row r="38" spans="1:18" x14ac:dyDescent="0.25">
      <c r="A38" s="16"/>
      <c r="B38" s="16" t="s">
        <v>26</v>
      </c>
      <c r="C38" s="16" t="s">
        <v>908</v>
      </c>
      <c r="D38" s="16" t="s">
        <v>909</v>
      </c>
      <c r="E38" s="16" t="s">
        <v>910</v>
      </c>
      <c r="F38" s="17">
        <v>1</v>
      </c>
      <c r="G38" s="17">
        <v>0</v>
      </c>
      <c r="H38" s="17">
        <v>25</v>
      </c>
      <c r="I38" s="17">
        <f t="shared" si="1"/>
        <v>-25</v>
      </c>
      <c r="J38" s="16" t="s">
        <v>103</v>
      </c>
      <c r="K38" s="16" t="s">
        <v>32</v>
      </c>
      <c r="L38" s="16" t="s">
        <v>811</v>
      </c>
      <c r="M38" s="16"/>
      <c r="N38" s="16"/>
      <c r="O38" s="16"/>
      <c r="P38" s="16"/>
      <c r="Q38" s="16">
        <v>1</v>
      </c>
      <c r="R38" s="10">
        <f>H38</f>
        <v>25</v>
      </c>
    </row>
    <row r="39" spans="1:18" x14ac:dyDescent="0.25">
      <c r="A39" s="16"/>
      <c r="B39" s="16" t="s">
        <v>26</v>
      </c>
      <c r="C39" s="16" t="s">
        <v>911</v>
      </c>
      <c r="D39" s="16" t="s">
        <v>912</v>
      </c>
      <c r="E39" s="16" t="s">
        <v>913</v>
      </c>
      <c r="F39" s="17">
        <v>7</v>
      </c>
      <c r="G39" s="17">
        <v>720</v>
      </c>
      <c r="H39" s="17">
        <v>30</v>
      </c>
      <c r="I39" s="17">
        <f t="shared" si="1"/>
        <v>690</v>
      </c>
      <c r="J39" s="16" t="s">
        <v>103</v>
      </c>
      <c r="K39" s="16" t="s">
        <v>32</v>
      </c>
      <c r="L39" s="16" t="s">
        <v>811</v>
      </c>
      <c r="M39" s="16"/>
      <c r="N39" s="16"/>
      <c r="O39" s="16"/>
      <c r="P39" s="16"/>
      <c r="Q39" s="16">
        <v>1</v>
      </c>
    </row>
    <row r="40" spans="1:18" x14ac:dyDescent="0.25">
      <c r="A40" s="16"/>
      <c r="B40" s="16" t="s">
        <v>26</v>
      </c>
      <c r="C40" s="16" t="s">
        <v>914</v>
      </c>
      <c r="D40" s="16" t="s">
        <v>915</v>
      </c>
      <c r="E40" s="16" t="s">
        <v>916</v>
      </c>
      <c r="F40" s="17">
        <v>10</v>
      </c>
      <c r="G40" s="17">
        <v>915</v>
      </c>
      <c r="H40" s="17">
        <v>25</v>
      </c>
      <c r="I40" s="17">
        <f t="shared" si="1"/>
        <v>890</v>
      </c>
      <c r="J40" s="16" t="s">
        <v>103</v>
      </c>
      <c r="K40" s="16" t="s">
        <v>32</v>
      </c>
      <c r="L40" s="16" t="s">
        <v>811</v>
      </c>
      <c r="M40" s="18" t="s">
        <v>288</v>
      </c>
      <c r="N40" s="16"/>
      <c r="O40" s="16"/>
      <c r="P40" s="16"/>
      <c r="Q40" s="16">
        <v>1</v>
      </c>
    </row>
    <row r="41" spans="1:18" x14ac:dyDescent="0.25">
      <c r="A41" s="16"/>
      <c r="B41" s="16" t="s">
        <v>26</v>
      </c>
      <c r="C41" s="16" t="s">
        <v>914</v>
      </c>
      <c r="D41" s="16" t="s">
        <v>917</v>
      </c>
      <c r="E41" s="16" t="s">
        <v>916</v>
      </c>
      <c r="F41" s="17">
        <v>10</v>
      </c>
      <c r="G41" s="17">
        <v>670</v>
      </c>
      <c r="H41" s="17">
        <v>0</v>
      </c>
      <c r="I41" s="17">
        <f t="shared" si="1"/>
        <v>670</v>
      </c>
      <c r="J41" s="16" t="s">
        <v>103</v>
      </c>
      <c r="K41" s="16" t="s">
        <v>32</v>
      </c>
      <c r="L41" s="16" t="s">
        <v>811</v>
      </c>
      <c r="M41" s="18" t="s">
        <v>288</v>
      </c>
      <c r="N41" s="16"/>
      <c r="O41" s="16"/>
      <c r="P41" s="16"/>
      <c r="Q41" s="16">
        <v>1</v>
      </c>
    </row>
    <row r="42" spans="1:18" x14ac:dyDescent="0.25">
      <c r="A42" s="16"/>
      <c r="B42" s="16" t="s">
        <v>26</v>
      </c>
      <c r="C42" s="16" t="s">
        <v>918</v>
      </c>
      <c r="D42" s="16" t="s">
        <v>919</v>
      </c>
      <c r="E42" s="16" t="s">
        <v>920</v>
      </c>
      <c r="F42" s="17">
        <v>3</v>
      </c>
      <c r="G42" s="17">
        <v>545</v>
      </c>
      <c r="H42" s="17">
        <v>25</v>
      </c>
      <c r="I42" s="17">
        <f t="shared" si="1"/>
        <v>520</v>
      </c>
      <c r="J42" s="16" t="s">
        <v>103</v>
      </c>
      <c r="K42" s="16" t="s">
        <v>32</v>
      </c>
      <c r="L42" s="16" t="s">
        <v>811</v>
      </c>
      <c r="M42" s="16"/>
      <c r="N42" s="16"/>
      <c r="O42" s="16"/>
      <c r="P42" s="16"/>
      <c r="Q42" s="16">
        <v>1</v>
      </c>
    </row>
    <row r="43" spans="1:18" x14ac:dyDescent="0.25">
      <c r="A43" s="16"/>
      <c r="B43" s="16" t="s">
        <v>26</v>
      </c>
      <c r="C43" s="16" t="s">
        <v>921</v>
      </c>
      <c r="D43" s="16" t="s">
        <v>922</v>
      </c>
      <c r="E43" s="16" t="s">
        <v>923</v>
      </c>
      <c r="F43" s="16" t="s">
        <v>75</v>
      </c>
      <c r="G43" s="17">
        <v>2780</v>
      </c>
      <c r="H43" s="17">
        <v>25</v>
      </c>
      <c r="I43" s="17">
        <f t="shared" si="1"/>
        <v>2755</v>
      </c>
      <c r="J43" s="16" t="s">
        <v>103</v>
      </c>
      <c r="K43" s="16" t="s">
        <v>32</v>
      </c>
      <c r="L43" s="16" t="s">
        <v>811</v>
      </c>
      <c r="M43" s="18" t="s">
        <v>55</v>
      </c>
      <c r="N43" s="16"/>
      <c r="O43" s="16"/>
      <c r="P43" s="16"/>
      <c r="Q43" s="16">
        <v>1</v>
      </c>
      <c r="R43" s="10">
        <f>H43</f>
        <v>25</v>
      </c>
    </row>
    <row r="44" spans="1:18" x14ac:dyDescent="0.25">
      <c r="A44" s="16"/>
      <c r="B44" s="16" t="s">
        <v>26</v>
      </c>
      <c r="C44" s="16" t="s">
        <v>924</v>
      </c>
      <c r="D44" s="16" t="s">
        <v>925</v>
      </c>
      <c r="E44" s="16" t="s">
        <v>926</v>
      </c>
      <c r="F44" s="17">
        <v>1</v>
      </c>
      <c r="G44" s="17">
        <v>1980</v>
      </c>
      <c r="H44" s="17">
        <v>25</v>
      </c>
      <c r="I44" s="17">
        <f t="shared" si="1"/>
        <v>1955</v>
      </c>
      <c r="J44" s="16" t="s">
        <v>103</v>
      </c>
      <c r="K44" s="16" t="s">
        <v>32</v>
      </c>
      <c r="L44" s="16" t="s">
        <v>811</v>
      </c>
      <c r="M44" s="18" t="s">
        <v>55</v>
      </c>
      <c r="N44" s="16"/>
      <c r="O44" s="16"/>
      <c r="P44" s="16"/>
      <c r="Q44" s="16">
        <v>1</v>
      </c>
      <c r="R44" s="10">
        <f>H44</f>
        <v>25</v>
      </c>
    </row>
    <row r="45" spans="1:18" x14ac:dyDescent="0.25">
      <c r="A45" s="16"/>
      <c r="B45" s="16" t="s">
        <v>26</v>
      </c>
      <c r="C45" s="16" t="s">
        <v>927</v>
      </c>
      <c r="D45" s="16" t="s">
        <v>928</v>
      </c>
      <c r="E45" s="16" t="s">
        <v>929</v>
      </c>
      <c r="F45" s="17">
        <v>4</v>
      </c>
      <c r="G45" s="17">
        <v>0</v>
      </c>
      <c r="H45" s="17">
        <v>25</v>
      </c>
      <c r="I45" s="17">
        <f t="shared" si="1"/>
        <v>-25</v>
      </c>
      <c r="J45" s="16" t="s">
        <v>103</v>
      </c>
      <c r="K45" s="16" t="s">
        <v>32</v>
      </c>
      <c r="L45" s="16" t="s">
        <v>811</v>
      </c>
      <c r="M45" s="16"/>
      <c r="N45" s="16"/>
      <c r="O45" s="16"/>
      <c r="P45" s="16"/>
      <c r="Q45" s="16">
        <v>1</v>
      </c>
      <c r="R45" s="10">
        <f>H45</f>
        <v>25</v>
      </c>
    </row>
    <row r="46" spans="1:18" s="21" customFormat="1" x14ac:dyDescent="0.25">
      <c r="A46" s="19"/>
      <c r="B46" s="19" t="s">
        <v>26</v>
      </c>
      <c r="C46" s="19" t="s">
        <v>930</v>
      </c>
      <c r="D46" s="19" t="s">
        <v>931</v>
      </c>
      <c r="E46" s="19" t="s">
        <v>932</v>
      </c>
      <c r="F46" s="20">
        <v>10</v>
      </c>
      <c r="G46" s="20">
        <v>295</v>
      </c>
      <c r="H46" s="20">
        <v>25</v>
      </c>
      <c r="I46" s="20">
        <f t="shared" si="1"/>
        <v>270</v>
      </c>
      <c r="J46" s="19" t="s">
        <v>103</v>
      </c>
      <c r="K46" s="19" t="s">
        <v>32</v>
      </c>
      <c r="L46" s="19" t="s">
        <v>811</v>
      </c>
      <c r="M46" s="19" t="s">
        <v>68</v>
      </c>
      <c r="N46" s="19"/>
      <c r="O46" s="19"/>
      <c r="P46" s="19"/>
      <c r="Q46" s="19">
        <v>1</v>
      </c>
    </row>
    <row r="47" spans="1:18" x14ac:dyDescent="0.25">
      <c r="A47" s="16"/>
      <c r="B47" s="16" t="s">
        <v>26</v>
      </c>
      <c r="C47" s="16" t="s">
        <v>933</v>
      </c>
      <c r="D47" s="16" t="s">
        <v>934</v>
      </c>
      <c r="E47" s="16" t="s">
        <v>935</v>
      </c>
      <c r="F47" s="17">
        <v>7</v>
      </c>
      <c r="G47" s="17">
        <v>520</v>
      </c>
      <c r="H47" s="17">
        <v>30</v>
      </c>
      <c r="I47" s="17">
        <f t="shared" si="1"/>
        <v>490</v>
      </c>
      <c r="J47" s="16" t="s">
        <v>103</v>
      </c>
      <c r="K47" s="16" t="s">
        <v>32</v>
      </c>
      <c r="L47" s="16" t="s">
        <v>811</v>
      </c>
      <c r="M47" s="16"/>
      <c r="N47" s="16"/>
      <c r="O47" s="16"/>
      <c r="P47" s="16"/>
      <c r="Q47" s="16">
        <v>1</v>
      </c>
    </row>
    <row r="48" spans="1:18" x14ac:dyDescent="0.25">
      <c r="A48" s="16"/>
      <c r="B48" s="16" t="s">
        <v>26</v>
      </c>
      <c r="C48" s="16" t="s">
        <v>936</v>
      </c>
      <c r="D48" s="16" t="s">
        <v>937</v>
      </c>
      <c r="E48" s="16" t="s">
        <v>938</v>
      </c>
      <c r="F48" s="17">
        <v>10</v>
      </c>
      <c r="G48" s="17">
        <v>715</v>
      </c>
      <c r="H48" s="17">
        <v>25</v>
      </c>
      <c r="I48" s="17">
        <f t="shared" si="1"/>
        <v>690</v>
      </c>
      <c r="J48" s="16" t="s">
        <v>103</v>
      </c>
      <c r="K48" s="16" t="s">
        <v>32</v>
      </c>
      <c r="L48" s="16" t="s">
        <v>811</v>
      </c>
      <c r="M48" s="16"/>
      <c r="N48" s="16"/>
      <c r="O48" s="16"/>
      <c r="P48" s="16"/>
      <c r="Q48" s="16">
        <v>1</v>
      </c>
    </row>
    <row r="49" spans="1:18" x14ac:dyDescent="0.25">
      <c r="A49" s="16"/>
      <c r="B49" s="16" t="s">
        <v>26</v>
      </c>
      <c r="C49" s="16" t="s">
        <v>939</v>
      </c>
      <c r="D49" s="16" t="s">
        <v>940</v>
      </c>
      <c r="E49" s="16" t="s">
        <v>941</v>
      </c>
      <c r="F49" s="16" t="s">
        <v>93</v>
      </c>
      <c r="G49" s="17">
        <v>845</v>
      </c>
      <c r="H49" s="17">
        <v>25</v>
      </c>
      <c r="I49" s="17">
        <f t="shared" si="1"/>
        <v>820</v>
      </c>
      <c r="J49" s="16" t="s">
        <v>103</v>
      </c>
      <c r="K49" s="16" t="s">
        <v>32</v>
      </c>
      <c r="L49" s="16" t="s">
        <v>811</v>
      </c>
      <c r="M49" s="16"/>
      <c r="N49" s="16"/>
      <c r="O49" s="16"/>
      <c r="P49" s="16"/>
      <c r="Q49" s="16">
        <v>1</v>
      </c>
    </row>
    <row r="50" spans="1:18" x14ac:dyDescent="0.25">
      <c r="A50" s="16"/>
      <c r="B50" s="16" t="s">
        <v>26</v>
      </c>
      <c r="C50" s="16" t="s">
        <v>942</v>
      </c>
      <c r="D50" s="16" t="s">
        <v>943</v>
      </c>
      <c r="E50" s="16" t="s">
        <v>944</v>
      </c>
      <c r="F50" s="17">
        <v>1</v>
      </c>
      <c r="G50" s="17">
        <v>995</v>
      </c>
      <c r="H50" s="17">
        <v>25</v>
      </c>
      <c r="I50" s="17">
        <f t="shared" si="1"/>
        <v>970</v>
      </c>
      <c r="J50" s="16" t="s">
        <v>103</v>
      </c>
      <c r="K50" s="16" t="s">
        <v>32</v>
      </c>
      <c r="L50" s="16" t="s">
        <v>811</v>
      </c>
      <c r="M50" s="16"/>
      <c r="N50" s="16"/>
      <c r="O50" s="16"/>
      <c r="P50" s="16"/>
      <c r="Q50" s="16">
        <v>1</v>
      </c>
    </row>
    <row r="51" spans="1:18" x14ac:dyDescent="0.25">
      <c r="A51" s="16" t="s">
        <v>141</v>
      </c>
      <c r="B51" s="16" t="s">
        <v>26</v>
      </c>
      <c r="C51" s="16" t="s">
        <v>945</v>
      </c>
      <c r="D51" s="16"/>
      <c r="E51" s="16" t="s">
        <v>605</v>
      </c>
      <c r="F51" s="16" t="s">
        <v>93</v>
      </c>
      <c r="G51" s="17">
        <v>0</v>
      </c>
      <c r="H51" s="17">
        <v>30</v>
      </c>
      <c r="I51" s="17">
        <f t="shared" si="1"/>
        <v>-30</v>
      </c>
      <c r="J51" s="16" t="s">
        <v>103</v>
      </c>
      <c r="K51" s="16" t="s">
        <v>32</v>
      </c>
      <c r="L51" s="16" t="s">
        <v>811</v>
      </c>
      <c r="M51" s="16"/>
      <c r="N51" s="16"/>
      <c r="O51" s="16"/>
      <c r="P51" s="16"/>
      <c r="Q51" s="16">
        <v>1</v>
      </c>
      <c r="R51" s="10">
        <f>H51</f>
        <v>30</v>
      </c>
    </row>
    <row r="52" spans="1:18" x14ac:dyDescent="0.25">
      <c r="A52" s="16" t="s">
        <v>141</v>
      </c>
      <c r="B52" s="16" t="s">
        <v>26</v>
      </c>
      <c r="C52" s="16" t="s">
        <v>946</v>
      </c>
      <c r="D52" s="16"/>
      <c r="E52" s="16" t="s">
        <v>947</v>
      </c>
      <c r="F52" s="17">
        <v>1</v>
      </c>
      <c r="G52" s="17">
        <v>0</v>
      </c>
      <c r="H52" s="17">
        <v>30</v>
      </c>
      <c r="I52" s="17">
        <f t="shared" si="1"/>
        <v>-30</v>
      </c>
      <c r="J52" s="16" t="s">
        <v>103</v>
      </c>
      <c r="K52" s="16" t="s">
        <v>32</v>
      </c>
      <c r="L52" s="16" t="s">
        <v>811</v>
      </c>
      <c r="M52" s="16"/>
      <c r="N52" s="16"/>
      <c r="O52" s="16"/>
      <c r="P52" s="16"/>
      <c r="Q52" s="16">
        <v>1</v>
      </c>
      <c r="R52" s="10">
        <f>H52</f>
        <v>30</v>
      </c>
    </row>
    <row r="53" spans="1:18" s="2" customFormat="1" x14ac:dyDescent="0.25">
      <c r="A53" s="23"/>
      <c r="B53" s="23" t="s">
        <v>26</v>
      </c>
      <c r="C53" s="23" t="s">
        <v>948</v>
      </c>
      <c r="D53" s="23" t="s">
        <v>949</v>
      </c>
      <c r="E53" s="23" t="s">
        <v>950</v>
      </c>
      <c r="F53" s="23" t="s">
        <v>611</v>
      </c>
      <c r="G53" s="24">
        <v>670</v>
      </c>
      <c r="H53" s="24">
        <v>0</v>
      </c>
      <c r="I53" s="24">
        <f t="shared" si="1"/>
        <v>670</v>
      </c>
      <c r="J53" s="23" t="s">
        <v>269</v>
      </c>
      <c r="K53" s="23" t="s">
        <v>32</v>
      </c>
      <c r="L53" s="23" t="s">
        <v>811</v>
      </c>
      <c r="M53" s="23" t="s">
        <v>612</v>
      </c>
      <c r="N53" s="23" t="s">
        <v>271</v>
      </c>
      <c r="O53" s="23"/>
      <c r="P53" s="23" t="s">
        <v>272</v>
      </c>
      <c r="Q53" s="23">
        <v>1</v>
      </c>
    </row>
    <row r="55" spans="1:18" x14ac:dyDescent="0.25">
      <c r="D55" s="1">
        <f>COUNTA(D3:D53)</f>
        <v>47</v>
      </c>
      <c r="G55" s="1">
        <f t="shared" ref="G55:Q55" si="2">SUBTOTAL(9,G3:G53)</f>
        <v>38625</v>
      </c>
      <c r="H55" s="1">
        <f t="shared" si="2"/>
        <v>1360</v>
      </c>
      <c r="I55" s="1">
        <f t="shared" si="2"/>
        <v>37265</v>
      </c>
      <c r="J55" s="1">
        <f t="shared" si="2"/>
        <v>0</v>
      </c>
      <c r="K55" s="1">
        <f t="shared" si="2"/>
        <v>0</v>
      </c>
      <c r="L55" s="1">
        <f t="shared" si="2"/>
        <v>0</v>
      </c>
      <c r="M55" s="1">
        <f t="shared" si="2"/>
        <v>0</v>
      </c>
      <c r="N55" s="1">
        <f t="shared" si="2"/>
        <v>0</v>
      </c>
      <c r="O55" s="1">
        <f t="shared" si="2"/>
        <v>0</v>
      </c>
      <c r="P55" s="1">
        <f t="shared" si="2"/>
        <v>0</v>
      </c>
      <c r="Q55" s="1">
        <f t="shared" si="2"/>
        <v>51</v>
      </c>
    </row>
    <row r="56" spans="1:18" x14ac:dyDescent="0.25">
      <c r="H56">
        <f>-7*17</f>
        <v>-119</v>
      </c>
    </row>
    <row r="57" spans="1:18" x14ac:dyDescent="0.25">
      <c r="A57" s="1" t="s">
        <v>26</v>
      </c>
      <c r="C57" s="34" t="s">
        <v>144</v>
      </c>
      <c r="D57" s="34"/>
      <c r="E57" s="4" t="s">
        <v>145</v>
      </c>
      <c r="H57">
        <f>-7*25</f>
        <v>-175</v>
      </c>
      <c r="K57" s="11" t="s">
        <v>103</v>
      </c>
      <c r="L57" s="11" t="s">
        <v>146</v>
      </c>
      <c r="M57" s="11" t="s">
        <v>145</v>
      </c>
      <c r="O57" s="4" t="s">
        <v>147</v>
      </c>
    </row>
    <row r="58" spans="1:18" x14ac:dyDescent="0.25">
      <c r="A58" t="s">
        <v>811</v>
      </c>
      <c r="B58" s="3" t="s">
        <v>148</v>
      </c>
      <c r="C58" s="35">
        <f>SUMIFS(I$3:I$53,B$3:B$53,A$57,L$3:L$53,A$58)</f>
        <v>37265</v>
      </c>
      <c r="D58" s="35"/>
      <c r="E58" s="3">
        <f>SUMIFS(Q$3:Q$53,B$3:B$53,A$57,L$3:L$53,A$58)</f>
        <v>51</v>
      </c>
      <c r="F58" t="s">
        <v>149</v>
      </c>
      <c r="H58">
        <f>-1*30</f>
        <v>-30</v>
      </c>
      <c r="K58" t="s">
        <v>150</v>
      </c>
      <c r="L58">
        <f>SUMIFS(G$3:G$53,J$3:J$53,K$57)</f>
        <v>14015</v>
      </c>
      <c r="M58">
        <f>SUMIFS(Q$3:Q$53,J$3:J$53,K$57)-INT(COUNTIFS(J$3:J$53,K$57,M$3:M$53,"*gộp*")/2)</f>
        <v>16</v>
      </c>
      <c r="O58" t="s">
        <v>103</v>
      </c>
      <c r="P58">
        <f>L63</f>
        <v>13670</v>
      </c>
    </row>
    <row r="59" spans="1:18" x14ac:dyDescent="0.25">
      <c r="B59" s="2" t="s">
        <v>152</v>
      </c>
      <c r="C59" s="36">
        <v>0</v>
      </c>
      <c r="D59" s="36"/>
      <c r="K59" t="s">
        <v>153</v>
      </c>
      <c r="L59">
        <f>-SUMIFS(H$3:H$53,J$3:J$53,K$57)+M59*5</f>
        <v>-345</v>
      </c>
      <c r="M59">
        <f>SUMIFS(Q$3:Q$53,J$3:J$53,K$57)-INT(COUNTIFS(J$3:J$53,K$57,M$3:M$53,"*gộp*")/2)</f>
        <v>16</v>
      </c>
      <c r="O59" t="s">
        <v>32</v>
      </c>
      <c r="P59">
        <f>L71</f>
        <v>10057</v>
      </c>
    </row>
    <row r="60" spans="1:18" x14ac:dyDescent="0.25">
      <c r="B60" s="2" t="s">
        <v>154</v>
      </c>
      <c r="C60" s="36">
        <f>-SUMIFS(I$3:I$53,B$3:B$53,A$57,P$3:P$53,"xx",N$3:N$53,"x")</f>
        <v>-670</v>
      </c>
      <c r="D60" s="36"/>
      <c r="E60" s="2">
        <f>SUMIFS(Q$3:Q$53,B$3:B$53,A$57,P$3:P$53,"xx",N$3:N$53,"x")</f>
        <v>1</v>
      </c>
      <c r="K60" t="s">
        <v>155</v>
      </c>
      <c r="O60" t="s">
        <v>951</v>
      </c>
      <c r="P60">
        <f>L79</f>
        <v>9601</v>
      </c>
    </row>
    <row r="61" spans="1:18" x14ac:dyDescent="0.25">
      <c r="B61" s="4" t="s">
        <v>156</v>
      </c>
      <c r="C61" s="34">
        <f>SUBTOTAL(9,C58:C60)</f>
        <v>36595</v>
      </c>
      <c r="D61" s="34"/>
      <c r="E61">
        <f>E58</f>
        <v>51</v>
      </c>
      <c r="K61" s="12" t="s">
        <v>157</v>
      </c>
      <c r="O61" t="s">
        <v>460</v>
      </c>
      <c r="P61">
        <f>L87</f>
        <v>3465</v>
      </c>
    </row>
    <row r="62" spans="1:18" x14ac:dyDescent="0.25">
      <c r="B62" s="2" t="s">
        <v>159</v>
      </c>
      <c r="C62" s="32">
        <v>-9</v>
      </c>
      <c r="D62" s="32"/>
      <c r="K62" s="2" t="s">
        <v>160</v>
      </c>
      <c r="O62" t="s">
        <v>158</v>
      </c>
      <c r="P62">
        <f>-C65</f>
        <v>-36561</v>
      </c>
    </row>
    <row r="63" spans="1:18" x14ac:dyDescent="0.25">
      <c r="B63" s="13" t="s">
        <v>162</v>
      </c>
      <c r="C63" s="32">
        <v>-25</v>
      </c>
      <c r="D63" s="32"/>
      <c r="L63" s="14">
        <f>SUBTOTAL(9,L58:L62)</f>
        <v>13670</v>
      </c>
      <c r="M63" s="14">
        <f>M58</f>
        <v>16</v>
      </c>
      <c r="O63" s="4" t="s">
        <v>161</v>
      </c>
      <c r="P63" s="4">
        <f>SUBTOTAL(9,P58:P62)</f>
        <v>232</v>
      </c>
    </row>
    <row r="65" spans="2:13" x14ac:dyDescent="0.25">
      <c r="B65" s="1" t="s">
        <v>163</v>
      </c>
      <c r="C65" s="33">
        <f>C61+C62+C63</f>
        <v>36561</v>
      </c>
      <c r="D65" s="33"/>
      <c r="E65" s="1" t="s">
        <v>164</v>
      </c>
      <c r="K65" s="11" t="s">
        <v>32</v>
      </c>
      <c r="L65" s="11" t="s">
        <v>146</v>
      </c>
      <c r="M65" s="11" t="s">
        <v>145</v>
      </c>
    </row>
    <row r="66" spans="2:13" x14ac:dyDescent="0.25">
      <c r="K66" t="s">
        <v>150</v>
      </c>
      <c r="L66">
        <f>SUMIFS(G$3:G$53,J$3:J$53,K$65)</f>
        <v>10475</v>
      </c>
      <c r="M66">
        <f>SUMIFS(Q$3:Q$53,J$3:J$53,K$65)-INT(COUNTIFS(J$3:J$53,K$65,M$3:M$53,"*gộp*")/2)</f>
        <v>15</v>
      </c>
    </row>
    <row r="67" spans="2:13" x14ac:dyDescent="0.25">
      <c r="K67" t="s">
        <v>153</v>
      </c>
      <c r="L67">
        <f>-SUMIFS(H$3:H$53,J$3:J$53,K$65)+M67*5</f>
        <v>-320</v>
      </c>
      <c r="M67">
        <f>SUMIFS(Q$3:Q$53,J$3:J$53,K$65)-INT(COUNTIFS(J$3:J$53,K$65,M$3:M$53,"*gộp*")/2)</f>
        <v>15</v>
      </c>
    </row>
    <row r="68" spans="2:13" x14ac:dyDescent="0.25">
      <c r="K68" t="s">
        <v>155</v>
      </c>
      <c r="L68">
        <f>-M68*2</f>
        <v>-98</v>
      </c>
      <c r="M68">
        <f>E61-(COUNTIFS(M$3:M$53,"*gộp*")/2)-COUNTIFS(M$3:M$53,"*đơn trả*")-COUNTIFS(M$3:M$53,"*hàng tỉnh*")</f>
        <v>49</v>
      </c>
    </row>
    <row r="69" spans="2:13" x14ac:dyDescent="0.25">
      <c r="K69" s="12" t="s">
        <v>157</v>
      </c>
    </row>
    <row r="70" spans="2:13" x14ac:dyDescent="0.25">
      <c r="K70" s="2" t="s">
        <v>160</v>
      </c>
    </row>
    <row r="71" spans="2:13" x14ac:dyDescent="0.25">
      <c r="L71" s="14">
        <f>SUBTOTAL(9,L66:L70)</f>
        <v>10057</v>
      </c>
      <c r="M71" s="14">
        <f>M66</f>
        <v>15</v>
      </c>
    </row>
    <row r="73" spans="2:13" x14ac:dyDescent="0.25">
      <c r="K73" s="11" t="s">
        <v>821</v>
      </c>
      <c r="L73" s="11" t="s">
        <v>146</v>
      </c>
      <c r="M73" s="11" t="s">
        <v>145</v>
      </c>
    </row>
    <row r="74" spans="2:13" x14ac:dyDescent="0.25">
      <c r="K74" t="s">
        <v>150</v>
      </c>
      <c r="L74">
        <f>SUMIFS(G$3:G$53,J$3:J$53,K$73)</f>
        <v>9925</v>
      </c>
      <c r="M74">
        <f>SUMIFS(Q$3:Q$53,J$3:J$53,K$73)-INT(COUNTIFS(J$3:J$53,K$73,M$3:M$53,"*gộp*")/2)</f>
        <v>15</v>
      </c>
    </row>
    <row r="75" spans="2:13" x14ac:dyDescent="0.25">
      <c r="K75" t="s">
        <v>153</v>
      </c>
      <c r="L75">
        <f>SUM(H56:H58)</f>
        <v>-324</v>
      </c>
      <c r="M75">
        <f>SUMIFS(Q$3:Q$53,J$3:J$53,K$73)-INT(COUNTIFS(J$3:J$53,K$73,M$3:M$53,"*gộp*")/2)</f>
        <v>15</v>
      </c>
    </row>
    <row r="76" spans="2:13" x14ac:dyDescent="0.25">
      <c r="K76" t="s">
        <v>155</v>
      </c>
    </row>
    <row r="77" spans="2:13" x14ac:dyDescent="0.25">
      <c r="K77" s="12" t="s">
        <v>157</v>
      </c>
    </row>
    <row r="78" spans="2:13" x14ac:dyDescent="0.25">
      <c r="K78" s="2" t="s">
        <v>160</v>
      </c>
    </row>
    <row r="79" spans="2:13" x14ac:dyDescent="0.25">
      <c r="L79" s="14">
        <f>SUBTOTAL(9,L74:L78)</f>
        <v>9601</v>
      </c>
      <c r="M79" s="14">
        <f>M74</f>
        <v>15</v>
      </c>
    </row>
    <row r="81" spans="11:13" x14ac:dyDescent="0.25">
      <c r="K81" s="11" t="s">
        <v>460</v>
      </c>
      <c r="L81" s="11" t="s">
        <v>146</v>
      </c>
      <c r="M81" s="11" t="s">
        <v>145</v>
      </c>
    </row>
    <row r="82" spans="11:13" x14ac:dyDescent="0.25">
      <c r="K82" t="s">
        <v>150</v>
      </c>
      <c r="L82">
        <f>SUMIFS(G$3:G$53,J$3:J$53,K$81)</f>
        <v>3540</v>
      </c>
      <c r="M82">
        <f>SUMIFS(Q$3:Q$53,J$3:J$53,K$81)-INT(COUNTIFS(J$3:J$53,K$81,M$3:M$53,"*gộp*")/2)</f>
        <v>3</v>
      </c>
    </row>
    <row r="83" spans="11:13" x14ac:dyDescent="0.25">
      <c r="K83" t="s">
        <v>153</v>
      </c>
      <c r="L83">
        <f>-SUMIFS(H$3:H$53,J$3:J$53,K$81)+M83*5</f>
        <v>-75</v>
      </c>
      <c r="M83">
        <f>SUMIFS(Q$3:Q$53,J$3:J$53,K$81)-INT(COUNTIFS(J$3:J$53,K$81,M$3:M$53,"*gộp*")/2)</f>
        <v>3</v>
      </c>
    </row>
    <row r="84" spans="11:13" x14ac:dyDescent="0.25">
      <c r="K84" t="s">
        <v>155</v>
      </c>
    </row>
    <row r="85" spans="11:13" x14ac:dyDescent="0.25">
      <c r="K85" s="12" t="s">
        <v>157</v>
      </c>
    </row>
    <row r="86" spans="11:13" x14ac:dyDescent="0.25">
      <c r="K86" s="2" t="s">
        <v>160</v>
      </c>
    </row>
    <row r="87" spans="11:13" x14ac:dyDescent="0.25">
      <c r="L87" s="14">
        <f>SUBTOTAL(9,L82:L86)</f>
        <v>3465</v>
      </c>
      <c r="M87" s="14">
        <f>M82</f>
        <v>3</v>
      </c>
    </row>
  </sheetData>
  <autoFilter ref="A2:P53" xr:uid="{00000000-0009-0000-0000-000008000000}">
    <sortState xmlns:xlrd2="http://schemas.microsoft.com/office/spreadsheetml/2017/richdata2" ref="A3:P53">
      <sortCondition ref="J2:J53"/>
    </sortState>
  </autoFilter>
  <mergeCells count="8">
    <mergeCell ref="C62:D62"/>
    <mergeCell ref="C63:D63"/>
    <mergeCell ref="C65:D65"/>
    <mergeCell ref="C57:D57"/>
    <mergeCell ref="C58:D58"/>
    <mergeCell ref="C59:D59"/>
    <mergeCell ref="C60:D60"/>
    <mergeCell ref="C61:D61"/>
  </mergeCells>
  <pageMargins left="0.75" right="0.75" top="0.75" bottom="0.5" header="0.5" footer="0.7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R60"/>
  <sheetViews>
    <sheetView workbookViewId="0">
      <selection activeCell="F30" sqref="F30"/>
    </sheetView>
  </sheetViews>
  <sheetFormatPr defaultRowHeight="15" x14ac:dyDescent="0.25"/>
  <cols>
    <col min="1" max="1" width="12.7109375" customWidth="1"/>
    <col min="2" max="2" width="17.7109375" customWidth="1"/>
    <col min="3" max="3" width="27.140625" customWidth="1"/>
    <col min="4" max="4" width="9.85546875" customWidth="1"/>
    <col min="5" max="5" width="64" customWidth="1"/>
    <col min="6" max="6" width="10.855468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0.42578125" customWidth="1"/>
    <col min="13" max="13" width="13.85546875" customWidth="1"/>
    <col min="14" max="14" width="9.7109375" customWidth="1"/>
    <col min="15" max="15" width="10.42578125" customWidth="1"/>
    <col min="16" max="16" width="7" bestFit="1" customWidth="1"/>
  </cols>
  <sheetData>
    <row r="2" spans="1:18" x14ac:dyDescent="0.25">
      <c r="A2" s="15" t="s">
        <v>10</v>
      </c>
      <c r="B2" s="15" t="s">
        <v>11</v>
      </c>
      <c r="C2" s="15" t="s">
        <v>12</v>
      </c>
      <c r="D2" s="15" t="s">
        <v>13</v>
      </c>
      <c r="E2" s="15" t="s">
        <v>14</v>
      </c>
      <c r="F2" s="15" t="s">
        <v>15</v>
      </c>
      <c r="G2" s="15" t="s">
        <v>16</v>
      </c>
      <c r="H2" s="15" t="s">
        <v>17</v>
      </c>
      <c r="I2" s="15" t="s">
        <v>18</v>
      </c>
      <c r="J2" s="15" t="s">
        <v>19</v>
      </c>
      <c r="K2" s="15" t="s">
        <v>20</v>
      </c>
      <c r="L2" s="15" t="s">
        <v>21</v>
      </c>
      <c r="M2" s="15" t="s">
        <v>22</v>
      </c>
      <c r="N2" s="15" t="s">
        <v>23</v>
      </c>
      <c r="O2" s="15" t="s">
        <v>24</v>
      </c>
      <c r="P2" s="15" t="s">
        <v>25</v>
      </c>
      <c r="Q2" s="16"/>
    </row>
    <row r="3" spans="1:18" x14ac:dyDescent="0.25">
      <c r="A3" s="16"/>
      <c r="B3" s="16" t="s">
        <v>26</v>
      </c>
      <c r="C3" s="16" t="s">
        <v>952</v>
      </c>
      <c r="D3" s="16" t="s">
        <v>953</v>
      </c>
      <c r="E3" s="16" t="s">
        <v>954</v>
      </c>
      <c r="F3" s="17">
        <v>9</v>
      </c>
      <c r="G3" s="17">
        <v>1340</v>
      </c>
      <c r="H3" s="17">
        <v>30</v>
      </c>
      <c r="I3" s="17">
        <f t="shared" ref="I3:I26" si="0">G3-H3</f>
        <v>1310</v>
      </c>
      <c r="J3" s="16" t="s">
        <v>460</v>
      </c>
      <c r="K3" s="16" t="s">
        <v>32</v>
      </c>
      <c r="L3" s="16" t="s">
        <v>955</v>
      </c>
      <c r="M3" s="16"/>
      <c r="N3" s="16"/>
      <c r="O3" s="16"/>
      <c r="P3" s="16"/>
      <c r="Q3" s="16">
        <v>1</v>
      </c>
    </row>
    <row r="4" spans="1:18" x14ac:dyDescent="0.25">
      <c r="A4" s="16"/>
      <c r="B4" s="16" t="s">
        <v>26</v>
      </c>
      <c r="C4" s="16" t="s">
        <v>956</v>
      </c>
      <c r="D4" s="16" t="s">
        <v>957</v>
      </c>
      <c r="E4" s="16" t="s">
        <v>958</v>
      </c>
      <c r="F4" s="17">
        <v>9</v>
      </c>
      <c r="G4" s="17">
        <v>1700</v>
      </c>
      <c r="H4" s="17">
        <v>30</v>
      </c>
      <c r="I4" s="17">
        <f t="shared" si="0"/>
        <v>1670</v>
      </c>
      <c r="J4" s="16" t="s">
        <v>460</v>
      </c>
      <c r="K4" s="16" t="s">
        <v>32</v>
      </c>
      <c r="L4" s="16" t="s">
        <v>955</v>
      </c>
      <c r="M4" s="16"/>
      <c r="N4" s="16"/>
      <c r="O4" s="16"/>
      <c r="P4" s="16"/>
      <c r="Q4" s="16">
        <v>1</v>
      </c>
    </row>
    <row r="5" spans="1:18" x14ac:dyDescent="0.25">
      <c r="A5" s="16"/>
      <c r="B5" s="16" t="s">
        <v>26</v>
      </c>
      <c r="C5" s="16" t="s">
        <v>959</v>
      </c>
      <c r="D5" s="16" t="s">
        <v>960</v>
      </c>
      <c r="E5" s="16" t="s">
        <v>961</v>
      </c>
      <c r="F5" s="17">
        <v>12</v>
      </c>
      <c r="G5" s="17">
        <v>870</v>
      </c>
      <c r="H5" s="17">
        <v>30</v>
      </c>
      <c r="I5" s="17">
        <f t="shared" si="0"/>
        <v>840</v>
      </c>
      <c r="J5" s="16" t="s">
        <v>962</v>
      </c>
      <c r="K5" s="16" t="s">
        <v>32</v>
      </c>
      <c r="L5" s="16" t="s">
        <v>955</v>
      </c>
      <c r="M5" s="16"/>
      <c r="N5" s="16"/>
      <c r="O5" s="16"/>
      <c r="P5" s="16"/>
      <c r="Q5" s="16">
        <v>1</v>
      </c>
    </row>
    <row r="6" spans="1:18" x14ac:dyDescent="0.25">
      <c r="A6" s="16"/>
      <c r="B6" s="16" t="s">
        <v>26</v>
      </c>
      <c r="C6" s="16" t="s">
        <v>963</v>
      </c>
      <c r="D6" s="16" t="s">
        <v>964</v>
      </c>
      <c r="E6" s="16" t="s">
        <v>965</v>
      </c>
      <c r="F6" s="16" t="s">
        <v>30</v>
      </c>
      <c r="G6" s="17">
        <v>0</v>
      </c>
      <c r="H6" s="17">
        <v>25</v>
      </c>
      <c r="I6" s="17">
        <f t="shared" si="0"/>
        <v>-25</v>
      </c>
      <c r="J6" s="16" t="s">
        <v>962</v>
      </c>
      <c r="K6" s="16" t="s">
        <v>32</v>
      </c>
      <c r="L6" s="16" t="s">
        <v>955</v>
      </c>
      <c r="M6" s="16"/>
      <c r="N6" s="16"/>
      <c r="O6" s="16"/>
      <c r="P6" s="16"/>
      <c r="Q6" s="16">
        <v>1</v>
      </c>
      <c r="R6" s="10">
        <f>H6</f>
        <v>25</v>
      </c>
    </row>
    <row r="7" spans="1:18" x14ac:dyDescent="0.25">
      <c r="A7" s="16"/>
      <c r="B7" s="16" t="s">
        <v>26</v>
      </c>
      <c r="C7" s="16" t="s">
        <v>966</v>
      </c>
      <c r="D7" s="16" t="s">
        <v>967</v>
      </c>
      <c r="E7" s="16" t="s">
        <v>633</v>
      </c>
      <c r="F7" s="17">
        <v>6</v>
      </c>
      <c r="G7" s="17">
        <v>2210</v>
      </c>
      <c r="H7" s="17">
        <v>30</v>
      </c>
      <c r="I7" s="17">
        <f t="shared" si="0"/>
        <v>2180</v>
      </c>
      <c r="J7" s="16" t="s">
        <v>962</v>
      </c>
      <c r="K7" s="16" t="s">
        <v>32</v>
      </c>
      <c r="L7" s="16" t="s">
        <v>955</v>
      </c>
      <c r="M7" s="18" t="s">
        <v>55</v>
      </c>
      <c r="N7" s="16"/>
      <c r="O7" s="16"/>
      <c r="P7" s="16"/>
      <c r="Q7" s="16">
        <v>1</v>
      </c>
      <c r="R7" s="10">
        <f>H7</f>
        <v>30</v>
      </c>
    </row>
    <row r="8" spans="1:18" x14ac:dyDescent="0.25">
      <c r="A8" s="16"/>
      <c r="B8" s="16" t="s">
        <v>26</v>
      </c>
      <c r="C8" s="16" t="s">
        <v>968</v>
      </c>
      <c r="D8" s="16" t="s">
        <v>969</v>
      </c>
      <c r="E8" s="16" t="s">
        <v>970</v>
      </c>
      <c r="F8" s="16" t="s">
        <v>40</v>
      </c>
      <c r="G8" s="17">
        <v>1775</v>
      </c>
      <c r="H8" s="17">
        <v>35</v>
      </c>
      <c r="I8" s="17">
        <f t="shared" si="0"/>
        <v>1740</v>
      </c>
      <c r="J8" s="16" t="s">
        <v>962</v>
      </c>
      <c r="K8" s="16" t="s">
        <v>32</v>
      </c>
      <c r="L8" s="16" t="s">
        <v>955</v>
      </c>
      <c r="M8" s="16"/>
      <c r="N8" s="16"/>
      <c r="O8" s="16"/>
      <c r="P8" s="16"/>
      <c r="Q8" s="16">
        <v>1</v>
      </c>
    </row>
    <row r="9" spans="1:18" x14ac:dyDescent="0.25">
      <c r="A9" s="16" t="s">
        <v>141</v>
      </c>
      <c r="B9" s="16" t="s">
        <v>26</v>
      </c>
      <c r="C9" s="16" t="s">
        <v>971</v>
      </c>
      <c r="D9" s="16"/>
      <c r="E9" s="16" t="s">
        <v>972</v>
      </c>
      <c r="F9" s="17">
        <v>6</v>
      </c>
      <c r="G9" s="17">
        <v>0</v>
      </c>
      <c r="H9" s="17">
        <v>30</v>
      </c>
      <c r="I9" s="17">
        <f t="shared" si="0"/>
        <v>-30</v>
      </c>
      <c r="J9" s="16" t="s">
        <v>962</v>
      </c>
      <c r="K9" s="16" t="s">
        <v>32</v>
      </c>
      <c r="L9" s="16" t="s">
        <v>955</v>
      </c>
      <c r="M9" s="16"/>
      <c r="N9" s="16"/>
      <c r="O9" s="16"/>
      <c r="P9" s="16"/>
      <c r="Q9" s="16">
        <v>1</v>
      </c>
      <c r="R9" s="10">
        <f>H9</f>
        <v>30</v>
      </c>
    </row>
    <row r="10" spans="1:18" x14ac:dyDescent="0.25">
      <c r="A10" s="16"/>
      <c r="B10" s="16" t="s">
        <v>26</v>
      </c>
      <c r="C10" s="16" t="s">
        <v>973</v>
      </c>
      <c r="D10" s="16" t="s">
        <v>974</v>
      </c>
      <c r="E10" s="16" t="s">
        <v>975</v>
      </c>
      <c r="F10" s="16" t="s">
        <v>75</v>
      </c>
      <c r="G10" s="17">
        <v>450</v>
      </c>
      <c r="H10" s="17">
        <v>20</v>
      </c>
      <c r="I10" s="17">
        <f t="shared" si="0"/>
        <v>430</v>
      </c>
      <c r="J10" s="16" t="s">
        <v>32</v>
      </c>
      <c r="K10" s="16" t="s">
        <v>32</v>
      </c>
      <c r="L10" s="16" t="s">
        <v>955</v>
      </c>
      <c r="M10" s="16"/>
      <c r="N10" s="16"/>
      <c r="O10" s="16"/>
      <c r="P10" s="16"/>
      <c r="Q10" s="16">
        <v>1</v>
      </c>
    </row>
    <row r="11" spans="1:18" x14ac:dyDescent="0.25">
      <c r="A11" s="16"/>
      <c r="B11" s="16" t="s">
        <v>26</v>
      </c>
      <c r="C11" s="16" t="s">
        <v>976</v>
      </c>
      <c r="D11" s="16" t="s">
        <v>977</v>
      </c>
      <c r="E11" s="16" t="s">
        <v>978</v>
      </c>
      <c r="F11" s="16" t="s">
        <v>75</v>
      </c>
      <c r="G11" s="17">
        <v>0</v>
      </c>
      <c r="H11" s="17">
        <v>20</v>
      </c>
      <c r="I11" s="17">
        <f t="shared" si="0"/>
        <v>-20</v>
      </c>
      <c r="J11" s="16" t="s">
        <v>32</v>
      </c>
      <c r="K11" s="16" t="s">
        <v>32</v>
      </c>
      <c r="L11" s="16" t="s">
        <v>955</v>
      </c>
      <c r="M11" s="16"/>
      <c r="N11" s="16"/>
      <c r="O11" s="16"/>
      <c r="P11" s="16"/>
      <c r="Q11" s="16">
        <v>1</v>
      </c>
      <c r="R11" s="10">
        <f>H11</f>
        <v>20</v>
      </c>
    </row>
    <row r="12" spans="1:18" s="21" customFormat="1" x14ac:dyDescent="0.25">
      <c r="A12" s="19"/>
      <c r="B12" s="19" t="s">
        <v>26</v>
      </c>
      <c r="C12" s="19" t="s">
        <v>764</v>
      </c>
      <c r="D12" s="19" t="s">
        <v>979</v>
      </c>
      <c r="E12" s="19" t="s">
        <v>766</v>
      </c>
      <c r="F12" s="19" t="s">
        <v>82</v>
      </c>
      <c r="G12" s="20">
        <v>0</v>
      </c>
      <c r="H12" s="20">
        <v>25</v>
      </c>
      <c r="I12" s="20">
        <f t="shared" si="0"/>
        <v>-25</v>
      </c>
      <c r="J12" s="19" t="s">
        <v>32</v>
      </c>
      <c r="K12" s="19" t="s">
        <v>32</v>
      </c>
      <c r="L12" s="19" t="s">
        <v>955</v>
      </c>
      <c r="M12" s="19" t="s">
        <v>68</v>
      </c>
      <c r="N12" s="19"/>
      <c r="O12" s="19"/>
      <c r="P12" s="19"/>
      <c r="Q12" s="19">
        <v>1</v>
      </c>
      <c r="R12" s="22">
        <f>H12</f>
        <v>25</v>
      </c>
    </row>
    <row r="13" spans="1:18" x14ac:dyDescent="0.25">
      <c r="A13" s="16"/>
      <c r="B13" s="16" t="s">
        <v>26</v>
      </c>
      <c r="C13" s="16" t="s">
        <v>980</v>
      </c>
      <c r="D13" s="16" t="s">
        <v>981</v>
      </c>
      <c r="E13" s="16" t="s">
        <v>982</v>
      </c>
      <c r="F13" s="16" t="s">
        <v>82</v>
      </c>
      <c r="G13" s="17">
        <v>0</v>
      </c>
      <c r="H13" s="17">
        <v>25</v>
      </c>
      <c r="I13" s="17">
        <f t="shared" si="0"/>
        <v>-25</v>
      </c>
      <c r="J13" s="16" t="s">
        <v>32</v>
      </c>
      <c r="K13" s="16" t="s">
        <v>32</v>
      </c>
      <c r="L13" s="16" t="s">
        <v>955</v>
      </c>
      <c r="M13" s="16"/>
      <c r="N13" s="16"/>
      <c r="O13" s="16"/>
      <c r="P13" s="16"/>
      <c r="Q13" s="16">
        <v>1</v>
      </c>
      <c r="R13" s="10">
        <f>H13</f>
        <v>25</v>
      </c>
    </row>
    <row r="14" spans="1:18" x14ac:dyDescent="0.25">
      <c r="A14" s="16"/>
      <c r="B14" s="16" t="s">
        <v>26</v>
      </c>
      <c r="C14" s="16" t="s">
        <v>983</v>
      </c>
      <c r="D14" s="16" t="s">
        <v>984</v>
      </c>
      <c r="E14" s="16" t="s">
        <v>985</v>
      </c>
      <c r="F14" s="16" t="s">
        <v>75</v>
      </c>
      <c r="G14" s="17">
        <v>1800</v>
      </c>
      <c r="H14" s="17">
        <v>20</v>
      </c>
      <c r="I14" s="17">
        <f t="shared" si="0"/>
        <v>1780</v>
      </c>
      <c r="J14" s="16" t="s">
        <v>32</v>
      </c>
      <c r="K14" s="16" t="s">
        <v>32</v>
      </c>
      <c r="L14" s="16" t="s">
        <v>955</v>
      </c>
      <c r="M14" s="16"/>
      <c r="N14" s="16"/>
      <c r="O14" s="16"/>
      <c r="P14" s="16"/>
      <c r="Q14" s="16">
        <v>1</v>
      </c>
    </row>
    <row r="15" spans="1:18" x14ac:dyDescent="0.25">
      <c r="A15" s="16"/>
      <c r="B15" s="16" t="s">
        <v>26</v>
      </c>
      <c r="C15" s="16" t="s">
        <v>986</v>
      </c>
      <c r="D15" s="16" t="s">
        <v>987</v>
      </c>
      <c r="E15" s="16" t="s">
        <v>988</v>
      </c>
      <c r="F15" s="16" t="s">
        <v>75</v>
      </c>
      <c r="G15" s="17">
        <v>0</v>
      </c>
      <c r="H15" s="17">
        <v>20</v>
      </c>
      <c r="I15" s="17">
        <f t="shared" si="0"/>
        <v>-20</v>
      </c>
      <c r="J15" s="16" t="s">
        <v>32</v>
      </c>
      <c r="K15" s="16" t="s">
        <v>32</v>
      </c>
      <c r="L15" s="16" t="s">
        <v>955</v>
      </c>
      <c r="M15" s="16"/>
      <c r="N15" s="16"/>
      <c r="O15" s="16"/>
      <c r="P15" s="16"/>
      <c r="Q15" s="16">
        <v>1</v>
      </c>
      <c r="R15" s="10">
        <f>H15</f>
        <v>20</v>
      </c>
    </row>
    <row r="16" spans="1:18" x14ac:dyDescent="0.25">
      <c r="A16" s="16"/>
      <c r="B16" s="16" t="s">
        <v>26</v>
      </c>
      <c r="C16" s="16" t="s">
        <v>989</v>
      </c>
      <c r="D16" s="16" t="s">
        <v>990</v>
      </c>
      <c r="E16" s="16" t="s">
        <v>991</v>
      </c>
      <c r="F16" s="16" t="s">
        <v>82</v>
      </c>
      <c r="G16" s="17">
        <v>885</v>
      </c>
      <c r="H16" s="17">
        <v>25</v>
      </c>
      <c r="I16" s="17">
        <f t="shared" si="0"/>
        <v>860</v>
      </c>
      <c r="J16" s="16" t="s">
        <v>32</v>
      </c>
      <c r="K16" s="16" t="s">
        <v>32</v>
      </c>
      <c r="L16" s="16" t="s">
        <v>955</v>
      </c>
      <c r="M16" s="16"/>
      <c r="N16" s="16"/>
      <c r="O16" s="16"/>
      <c r="P16" s="16"/>
      <c r="Q16" s="16">
        <v>1</v>
      </c>
    </row>
    <row r="17" spans="1:18" x14ac:dyDescent="0.25">
      <c r="A17" s="16" t="s">
        <v>141</v>
      </c>
      <c r="B17" s="16" t="s">
        <v>26</v>
      </c>
      <c r="C17" s="16" t="s">
        <v>204</v>
      </c>
      <c r="D17" s="16"/>
      <c r="E17" s="16" t="s">
        <v>205</v>
      </c>
      <c r="F17" s="16" t="s">
        <v>82</v>
      </c>
      <c r="G17" s="17">
        <v>12080</v>
      </c>
      <c r="H17" s="17">
        <v>60</v>
      </c>
      <c r="I17" s="17">
        <f t="shared" si="0"/>
        <v>12020</v>
      </c>
      <c r="J17" s="16" t="s">
        <v>32</v>
      </c>
      <c r="K17" s="16" t="s">
        <v>32</v>
      </c>
      <c r="L17" s="16" t="s">
        <v>955</v>
      </c>
      <c r="M17" s="16"/>
      <c r="N17" s="16"/>
      <c r="O17" s="16"/>
      <c r="P17" s="16"/>
      <c r="Q17" s="16">
        <v>1</v>
      </c>
    </row>
    <row r="18" spans="1:18" x14ac:dyDescent="0.25">
      <c r="A18" s="16" t="s">
        <v>141</v>
      </c>
      <c r="B18" s="16" t="s">
        <v>26</v>
      </c>
      <c r="C18" s="16" t="s">
        <v>992</v>
      </c>
      <c r="D18" s="16"/>
      <c r="E18" s="16" t="s">
        <v>993</v>
      </c>
      <c r="F18" s="16" t="s">
        <v>93</v>
      </c>
      <c r="G18" s="17">
        <v>0</v>
      </c>
      <c r="H18" s="17">
        <v>30</v>
      </c>
      <c r="I18" s="17">
        <f t="shared" si="0"/>
        <v>-30</v>
      </c>
      <c r="J18" s="16" t="s">
        <v>32</v>
      </c>
      <c r="K18" s="16" t="s">
        <v>32</v>
      </c>
      <c r="L18" s="16" t="s">
        <v>955</v>
      </c>
      <c r="M18" s="16"/>
      <c r="N18" s="16"/>
      <c r="O18" s="16"/>
      <c r="P18" s="16"/>
      <c r="Q18" s="16">
        <v>1</v>
      </c>
      <c r="R18" s="10">
        <f>H18</f>
        <v>30</v>
      </c>
    </row>
    <row r="19" spans="1:18" x14ac:dyDescent="0.25">
      <c r="A19" s="16" t="s">
        <v>141</v>
      </c>
      <c r="B19" s="16" t="s">
        <v>26</v>
      </c>
      <c r="C19" s="16" t="s">
        <v>551</v>
      </c>
      <c r="D19" s="16"/>
      <c r="E19" s="16" t="s">
        <v>994</v>
      </c>
      <c r="F19" s="16" t="s">
        <v>82</v>
      </c>
      <c r="G19" s="17">
        <v>0</v>
      </c>
      <c r="H19" s="17">
        <v>30</v>
      </c>
      <c r="I19" s="17">
        <f t="shared" si="0"/>
        <v>-30</v>
      </c>
      <c r="J19" s="16" t="s">
        <v>32</v>
      </c>
      <c r="K19" s="16" t="s">
        <v>32</v>
      </c>
      <c r="L19" s="16" t="s">
        <v>955</v>
      </c>
      <c r="M19" s="16"/>
      <c r="N19" s="16"/>
      <c r="O19" s="16"/>
      <c r="P19" s="16"/>
      <c r="Q19" s="16">
        <v>1</v>
      </c>
      <c r="R19" s="10">
        <f>H19</f>
        <v>30</v>
      </c>
    </row>
    <row r="20" spans="1:18" x14ac:dyDescent="0.25">
      <c r="A20" s="16"/>
      <c r="B20" s="16" t="s">
        <v>26</v>
      </c>
      <c r="C20" s="16" t="s">
        <v>995</v>
      </c>
      <c r="D20" s="16" t="s">
        <v>996</v>
      </c>
      <c r="E20" s="16" t="s">
        <v>997</v>
      </c>
      <c r="F20" s="17">
        <v>7</v>
      </c>
      <c r="G20" s="17">
        <v>1220</v>
      </c>
      <c r="H20" s="17">
        <v>30</v>
      </c>
      <c r="I20" s="17">
        <f t="shared" si="0"/>
        <v>1190</v>
      </c>
      <c r="J20" s="16" t="s">
        <v>103</v>
      </c>
      <c r="K20" s="16" t="s">
        <v>32</v>
      </c>
      <c r="L20" s="16" t="s">
        <v>955</v>
      </c>
      <c r="M20" s="16"/>
      <c r="N20" s="16"/>
      <c r="O20" s="16"/>
      <c r="P20" s="16"/>
      <c r="Q20" s="16">
        <v>1</v>
      </c>
    </row>
    <row r="21" spans="1:18" x14ac:dyDescent="0.25">
      <c r="A21" s="16"/>
      <c r="B21" s="16" t="s">
        <v>26</v>
      </c>
      <c r="C21" s="16" t="s">
        <v>998</v>
      </c>
      <c r="D21" s="16" t="s">
        <v>999</v>
      </c>
      <c r="E21" s="16" t="s">
        <v>1000</v>
      </c>
      <c r="F21" s="17">
        <v>5</v>
      </c>
      <c r="G21" s="17">
        <v>515</v>
      </c>
      <c r="H21" s="17">
        <v>25</v>
      </c>
      <c r="I21" s="17">
        <f t="shared" si="0"/>
        <v>490</v>
      </c>
      <c r="J21" s="16" t="s">
        <v>103</v>
      </c>
      <c r="K21" s="16" t="s">
        <v>32</v>
      </c>
      <c r="L21" s="16" t="s">
        <v>955</v>
      </c>
      <c r="M21" s="16"/>
      <c r="N21" s="16"/>
      <c r="O21" s="16"/>
      <c r="P21" s="16"/>
      <c r="Q21" s="16">
        <v>1</v>
      </c>
    </row>
    <row r="22" spans="1:18" x14ac:dyDescent="0.25">
      <c r="A22" s="16"/>
      <c r="B22" s="16" t="s">
        <v>26</v>
      </c>
      <c r="C22" s="16" t="s">
        <v>1001</v>
      </c>
      <c r="D22" s="16" t="s">
        <v>1002</v>
      </c>
      <c r="E22" s="16" t="s">
        <v>1003</v>
      </c>
      <c r="F22" s="17">
        <v>5</v>
      </c>
      <c r="G22" s="17">
        <v>1665</v>
      </c>
      <c r="H22" s="17">
        <v>25</v>
      </c>
      <c r="I22" s="17">
        <f t="shared" si="0"/>
        <v>1640</v>
      </c>
      <c r="J22" s="16" t="s">
        <v>103</v>
      </c>
      <c r="K22" s="16" t="s">
        <v>32</v>
      </c>
      <c r="L22" s="16" t="s">
        <v>955</v>
      </c>
      <c r="M22" s="16"/>
      <c r="N22" s="16"/>
      <c r="O22" s="16"/>
      <c r="P22" s="16"/>
      <c r="Q22" s="16">
        <v>1</v>
      </c>
    </row>
    <row r="23" spans="1:18" s="21" customFormat="1" x14ac:dyDescent="0.25">
      <c r="A23" s="19"/>
      <c r="B23" s="19" t="s">
        <v>26</v>
      </c>
      <c r="C23" s="19" t="s">
        <v>690</v>
      </c>
      <c r="D23" s="19" t="s">
        <v>1004</v>
      </c>
      <c r="E23" s="19" t="s">
        <v>692</v>
      </c>
      <c r="F23" s="20">
        <v>10</v>
      </c>
      <c r="G23" s="20">
        <v>85</v>
      </c>
      <c r="H23" s="20">
        <v>25</v>
      </c>
      <c r="I23" s="20">
        <f t="shared" si="0"/>
        <v>60</v>
      </c>
      <c r="J23" s="19" t="s">
        <v>103</v>
      </c>
      <c r="K23" s="19" t="s">
        <v>32</v>
      </c>
      <c r="L23" s="19" t="s">
        <v>955</v>
      </c>
      <c r="M23" s="19" t="s">
        <v>68</v>
      </c>
      <c r="N23" s="19"/>
      <c r="O23" s="19"/>
      <c r="P23" s="19"/>
      <c r="Q23" s="19">
        <v>1</v>
      </c>
    </row>
    <row r="24" spans="1:18" x14ac:dyDescent="0.25">
      <c r="A24" s="16"/>
      <c r="B24" s="16" t="s">
        <v>26</v>
      </c>
      <c r="C24" s="16" t="s">
        <v>1005</v>
      </c>
      <c r="D24" s="16" t="s">
        <v>1006</v>
      </c>
      <c r="E24" s="16" t="s">
        <v>1007</v>
      </c>
      <c r="F24" s="17">
        <v>1</v>
      </c>
      <c r="G24" s="17">
        <v>0</v>
      </c>
      <c r="H24" s="17">
        <v>25</v>
      </c>
      <c r="I24" s="17">
        <f t="shared" si="0"/>
        <v>-25</v>
      </c>
      <c r="J24" s="16" t="s">
        <v>103</v>
      </c>
      <c r="K24" s="16" t="s">
        <v>32</v>
      </c>
      <c r="L24" s="16" t="s">
        <v>955</v>
      </c>
      <c r="M24" s="16"/>
      <c r="N24" s="16"/>
      <c r="O24" s="16"/>
      <c r="P24" s="16"/>
      <c r="Q24" s="16">
        <v>1</v>
      </c>
      <c r="R24" s="10">
        <f>H24</f>
        <v>25</v>
      </c>
    </row>
    <row r="25" spans="1:18" x14ac:dyDescent="0.25">
      <c r="A25" s="16" t="s">
        <v>141</v>
      </c>
      <c r="B25" s="16" t="s">
        <v>26</v>
      </c>
      <c r="C25" s="16" t="s">
        <v>1008</v>
      </c>
      <c r="D25" s="16"/>
      <c r="E25" s="16" t="s">
        <v>1009</v>
      </c>
      <c r="F25" s="17">
        <v>5</v>
      </c>
      <c r="G25" s="17">
        <v>30</v>
      </c>
      <c r="H25" s="17">
        <v>30</v>
      </c>
      <c r="I25" s="17">
        <f t="shared" si="0"/>
        <v>0</v>
      </c>
      <c r="J25" s="16" t="s">
        <v>103</v>
      </c>
      <c r="K25" s="16" t="s">
        <v>32</v>
      </c>
      <c r="L25" s="16" t="s">
        <v>955</v>
      </c>
      <c r="M25" s="16"/>
      <c r="N25" s="16"/>
      <c r="O25" s="16"/>
      <c r="P25" s="16"/>
      <c r="Q25" s="16">
        <v>1</v>
      </c>
    </row>
    <row r="26" spans="1:18" x14ac:dyDescent="0.25">
      <c r="A26" s="16" t="s">
        <v>141</v>
      </c>
      <c r="B26" s="16" t="s">
        <v>26</v>
      </c>
      <c r="C26" s="16" t="s">
        <v>946</v>
      </c>
      <c r="D26" s="16"/>
      <c r="E26" s="16" t="s">
        <v>947</v>
      </c>
      <c r="F26" s="17">
        <v>1</v>
      </c>
      <c r="G26" s="17">
        <v>0</v>
      </c>
      <c r="H26" s="17">
        <v>30</v>
      </c>
      <c r="I26" s="17">
        <f t="shared" si="0"/>
        <v>-30</v>
      </c>
      <c r="J26" s="16" t="s">
        <v>103</v>
      </c>
      <c r="K26" s="16" t="s">
        <v>32</v>
      </c>
      <c r="L26" s="16" t="s">
        <v>955</v>
      </c>
      <c r="M26" s="16"/>
      <c r="N26" s="16"/>
      <c r="O26" s="16"/>
      <c r="P26" s="16"/>
      <c r="Q26" s="16">
        <v>1</v>
      </c>
      <c r="R26" s="10">
        <f>H26</f>
        <v>30</v>
      </c>
    </row>
    <row r="28" spans="1:18" x14ac:dyDescent="0.25">
      <c r="D28" s="1">
        <f>COUNTA(D3:D26)</f>
        <v>18</v>
      </c>
      <c r="G28" s="1">
        <f t="shared" ref="G28:Q28" si="1">SUBTOTAL(9,G3:G26)</f>
        <v>26625</v>
      </c>
      <c r="H28" s="1">
        <f t="shared" si="1"/>
        <v>675</v>
      </c>
      <c r="I28" s="1">
        <f t="shared" si="1"/>
        <v>25950</v>
      </c>
      <c r="J28" s="1">
        <f t="shared" si="1"/>
        <v>0</v>
      </c>
      <c r="K28" s="1">
        <f t="shared" si="1"/>
        <v>0</v>
      </c>
      <c r="L28" s="1">
        <f t="shared" si="1"/>
        <v>0</v>
      </c>
      <c r="M28" s="1">
        <f t="shared" si="1"/>
        <v>0</v>
      </c>
      <c r="N28" s="1">
        <f t="shared" si="1"/>
        <v>0</v>
      </c>
      <c r="O28" s="1">
        <f t="shared" si="1"/>
        <v>0</v>
      </c>
      <c r="P28" s="1">
        <f t="shared" si="1"/>
        <v>0</v>
      </c>
      <c r="Q28" s="1">
        <f t="shared" si="1"/>
        <v>24</v>
      </c>
    </row>
    <row r="29" spans="1:18" x14ac:dyDescent="0.25">
      <c r="H29">
        <f>-3*17</f>
        <v>-51</v>
      </c>
    </row>
    <row r="30" spans="1:18" x14ac:dyDescent="0.25">
      <c r="A30" s="1" t="s">
        <v>26</v>
      </c>
      <c r="C30" s="34" t="s">
        <v>144</v>
      </c>
      <c r="D30" s="34"/>
      <c r="E30" s="4" t="s">
        <v>145</v>
      </c>
      <c r="H30">
        <f>-1*25</f>
        <v>-25</v>
      </c>
      <c r="K30" s="11" t="s">
        <v>32</v>
      </c>
      <c r="L30" s="11" t="s">
        <v>146</v>
      </c>
      <c r="M30" s="11" t="s">
        <v>145</v>
      </c>
      <c r="O30" s="4" t="s">
        <v>147</v>
      </c>
    </row>
    <row r="31" spans="1:18" x14ac:dyDescent="0.25">
      <c r="A31" t="s">
        <v>955</v>
      </c>
      <c r="B31" s="3" t="s">
        <v>148</v>
      </c>
      <c r="C31" s="35">
        <f>SUMIFS(I$3:I$26,B$3:B$26,A$30,L$3:L$26,A$31)</f>
        <v>25950</v>
      </c>
      <c r="D31" s="35"/>
      <c r="E31" s="3">
        <f>SUMIFS(Q$3:Q$26,B$3:B$26,A$30,L$3:L$26,A$31)</f>
        <v>24</v>
      </c>
      <c r="F31" t="s">
        <v>149</v>
      </c>
      <c r="H31">
        <f>-1*30</f>
        <v>-30</v>
      </c>
      <c r="K31" t="s">
        <v>150</v>
      </c>
      <c r="L31">
        <f>SUMIFS(G$3:G$26,J$3:J$26,K$30)</f>
        <v>15215</v>
      </c>
      <c r="M31">
        <f>SUMIFS(Q$3:Q$26,J$3:J$26,K$30)-INT(COUNTIFS(J$3:J$26,K$30,M$3:M$26,"*gộp*")/2)</f>
        <v>10</v>
      </c>
      <c r="O31" t="s">
        <v>32</v>
      </c>
      <c r="P31">
        <f>L36</f>
        <v>14942</v>
      </c>
    </row>
    <row r="32" spans="1:18" x14ac:dyDescent="0.25">
      <c r="B32" s="2" t="s">
        <v>152</v>
      </c>
      <c r="C32" s="36">
        <v>0</v>
      </c>
      <c r="D32" s="36"/>
      <c r="K32" t="s">
        <v>153</v>
      </c>
      <c r="L32">
        <f>-SUMIFS(H$3:H$26,J$3:J$26,K$30)+M32*5</f>
        <v>-225</v>
      </c>
      <c r="M32">
        <f>SUMIFS(Q$3:Q$26,J$3:J$26,K$30)-INT(COUNTIFS(J$3:J$26,K$30,M$3:M$26,"*gộp*")/2)</f>
        <v>10</v>
      </c>
      <c r="O32" t="s">
        <v>103</v>
      </c>
      <c r="P32">
        <f>L44</f>
        <v>3360</v>
      </c>
    </row>
    <row r="33" spans="2:16" x14ac:dyDescent="0.25">
      <c r="B33" s="2" t="s">
        <v>154</v>
      </c>
      <c r="C33" s="36">
        <f>-SUMIFS(I$3:I$26,B$3:B$26,A$30,P$3:P$26,"xx",N$3:N$26,"x")</f>
        <v>0</v>
      </c>
      <c r="D33" s="36"/>
      <c r="E33" s="2">
        <f>SUMIFS(Q$3:Q$26,B$3:B$26,A$30,P$3:P$26,"xx",N$3:N$26,"x")</f>
        <v>0</v>
      </c>
      <c r="K33" t="s">
        <v>155</v>
      </c>
      <c r="L33">
        <f>-M33*2</f>
        <v>-48</v>
      </c>
      <c r="M33">
        <f>E34-(COUNTIFS(M$3:M$26,"*gộp*")/2)-COUNTIFS(M$3:M$26,"*đơn trả*")-COUNTIFS(M$3:M$26,"*hàng tỉnh*")</f>
        <v>24</v>
      </c>
      <c r="O33" t="s">
        <v>1010</v>
      </c>
      <c r="P33">
        <f>L52</f>
        <v>4749</v>
      </c>
    </row>
    <row r="34" spans="2:16" x14ac:dyDescent="0.25">
      <c r="B34" s="4" t="s">
        <v>156</v>
      </c>
      <c r="C34" s="34">
        <f>SUBTOTAL(9,C31:C33)</f>
        <v>25950</v>
      </c>
      <c r="D34" s="34"/>
      <c r="E34">
        <f>E31</f>
        <v>24</v>
      </c>
      <c r="K34" s="12" t="s">
        <v>157</v>
      </c>
      <c r="O34" t="s">
        <v>460</v>
      </c>
      <c r="P34">
        <f>L60</f>
        <v>2990</v>
      </c>
    </row>
    <row r="35" spans="2:16" x14ac:dyDescent="0.25">
      <c r="B35" s="2" t="s">
        <v>159</v>
      </c>
      <c r="C35" s="32"/>
      <c r="D35" s="32"/>
      <c r="K35" s="2" t="s">
        <v>160</v>
      </c>
      <c r="O35" t="s">
        <v>158</v>
      </c>
      <c r="P35">
        <f>-C38</f>
        <v>-25950</v>
      </c>
    </row>
    <row r="36" spans="2:16" x14ac:dyDescent="0.25">
      <c r="B36" s="13" t="s">
        <v>162</v>
      </c>
      <c r="C36" s="32"/>
      <c r="D36" s="32"/>
      <c r="L36" s="14">
        <f>SUBTOTAL(9,L31:L35)</f>
        <v>14942</v>
      </c>
      <c r="M36" s="14">
        <f>M31</f>
        <v>10</v>
      </c>
      <c r="O36" s="4" t="s">
        <v>161</v>
      </c>
      <c r="P36" s="4">
        <f>SUBTOTAL(9,P31:P35)</f>
        <v>91</v>
      </c>
    </row>
    <row r="38" spans="2:16" x14ac:dyDescent="0.25">
      <c r="B38" s="1" t="s">
        <v>163</v>
      </c>
      <c r="C38" s="33">
        <f>C34+C35+C36</f>
        <v>25950</v>
      </c>
      <c r="D38" s="33"/>
      <c r="E38" s="1" t="s">
        <v>164</v>
      </c>
      <c r="K38" s="11" t="s">
        <v>103</v>
      </c>
      <c r="L38" s="11" t="s">
        <v>146</v>
      </c>
      <c r="M38" s="11" t="s">
        <v>145</v>
      </c>
    </row>
    <row r="39" spans="2:16" x14ac:dyDescent="0.25">
      <c r="K39" t="s">
        <v>150</v>
      </c>
      <c r="L39">
        <f>SUMIFS(G$3:G$26,J$3:J$26,K$38)</f>
        <v>3515</v>
      </c>
      <c r="M39">
        <f>SUMIFS(Q$3:Q$26,J$3:J$26,K$38)-INT(COUNTIFS(J$3:J$26,K$38,M$3:M$26,"*gộp*")/2)</f>
        <v>7</v>
      </c>
    </row>
    <row r="40" spans="2:16" x14ac:dyDescent="0.25">
      <c r="K40" t="s">
        <v>153</v>
      </c>
      <c r="L40">
        <f>-SUMIFS(H$3:H$26,J$3:J$26,K$38)+M40*5</f>
        <v>-155</v>
      </c>
      <c r="M40">
        <f>SUMIFS(Q$3:Q$26,J$3:J$26,K$38)-INT(COUNTIFS(J$3:J$26,K$38,M$3:M$26,"*gộp*")/2)</f>
        <v>7</v>
      </c>
    </row>
    <row r="41" spans="2:16" x14ac:dyDescent="0.25">
      <c r="K41" t="s">
        <v>155</v>
      </c>
    </row>
    <row r="42" spans="2:16" x14ac:dyDescent="0.25">
      <c r="K42" s="12" t="s">
        <v>157</v>
      </c>
    </row>
    <row r="43" spans="2:16" x14ac:dyDescent="0.25">
      <c r="K43" s="2" t="s">
        <v>160</v>
      </c>
    </row>
    <row r="44" spans="2:16" x14ac:dyDescent="0.25">
      <c r="L44" s="14">
        <f>SUBTOTAL(9,L39:L43)</f>
        <v>3360</v>
      </c>
      <c r="M44" s="14">
        <f>M39</f>
        <v>7</v>
      </c>
    </row>
    <row r="46" spans="2:16" x14ac:dyDescent="0.25">
      <c r="K46" s="11" t="s">
        <v>962</v>
      </c>
      <c r="L46" s="11" t="s">
        <v>146</v>
      </c>
      <c r="M46" s="11" t="s">
        <v>145</v>
      </c>
    </row>
    <row r="47" spans="2:16" x14ac:dyDescent="0.25">
      <c r="K47" t="s">
        <v>150</v>
      </c>
      <c r="L47">
        <f>SUMIFS(G$3:G$26,J$3:J$26,K$46)</f>
        <v>4855</v>
      </c>
      <c r="M47">
        <f>SUMIFS(Q$3:Q$26,J$3:J$26,K$46)-INT(COUNTIFS(J$3:J$26,K$46,M$3:M$26,"*gộp*")/2)</f>
        <v>5</v>
      </c>
    </row>
    <row r="48" spans="2:16" x14ac:dyDescent="0.25">
      <c r="K48" t="s">
        <v>153</v>
      </c>
      <c r="L48">
        <f>SUM(H29:H31)</f>
        <v>-106</v>
      </c>
      <c r="M48">
        <f>SUMIFS(Q$3:Q$26,J$3:J$26,K$46)-INT(COUNTIFS(J$3:J$26,K$46,M$3:M$26,"*gộp*")/2)</f>
        <v>5</v>
      </c>
    </row>
    <row r="49" spans="11:13" x14ac:dyDescent="0.25">
      <c r="K49" t="s">
        <v>155</v>
      </c>
    </row>
    <row r="50" spans="11:13" x14ac:dyDescent="0.25">
      <c r="K50" s="12" t="s">
        <v>157</v>
      </c>
    </row>
    <row r="51" spans="11:13" x14ac:dyDescent="0.25">
      <c r="K51" s="2" t="s">
        <v>160</v>
      </c>
    </row>
    <row r="52" spans="11:13" x14ac:dyDescent="0.25">
      <c r="L52" s="14">
        <f>SUBTOTAL(9,L47:L51)</f>
        <v>4749</v>
      </c>
      <c r="M52" s="14">
        <f>M47</f>
        <v>5</v>
      </c>
    </row>
    <row r="54" spans="11:13" x14ac:dyDescent="0.25">
      <c r="K54" s="11" t="s">
        <v>460</v>
      </c>
      <c r="L54" s="11" t="s">
        <v>146</v>
      </c>
      <c r="M54" s="11" t="s">
        <v>145</v>
      </c>
    </row>
    <row r="55" spans="11:13" x14ac:dyDescent="0.25">
      <c r="K55" t="s">
        <v>150</v>
      </c>
      <c r="L55">
        <f>SUMIFS(G$3:G$26,J$3:J$26,K$54)</f>
        <v>3040</v>
      </c>
      <c r="M55">
        <f>SUMIFS(Q$3:Q$26,J$3:J$26,K$54)-INT(COUNTIFS(J$3:J$26,K$54,M$3:M$26,"*gộp*")/2)</f>
        <v>2</v>
      </c>
    </row>
    <row r="56" spans="11:13" x14ac:dyDescent="0.25">
      <c r="K56" t="s">
        <v>153</v>
      </c>
      <c r="L56">
        <f>-SUMIFS(H$3:H$26,J$3:J$26,K$54)+M56*5</f>
        <v>-50</v>
      </c>
      <c r="M56">
        <f>SUMIFS(Q$3:Q$26,J$3:J$26,K$54)-INT(COUNTIFS(J$3:J$26,K$54,M$3:M$26,"*gộp*")/2)</f>
        <v>2</v>
      </c>
    </row>
    <row r="57" spans="11:13" x14ac:dyDescent="0.25">
      <c r="K57" t="s">
        <v>155</v>
      </c>
    </row>
    <row r="58" spans="11:13" x14ac:dyDescent="0.25">
      <c r="K58" s="12" t="s">
        <v>157</v>
      </c>
    </row>
    <row r="59" spans="11:13" x14ac:dyDescent="0.25">
      <c r="K59" s="2" t="s">
        <v>160</v>
      </c>
    </row>
    <row r="60" spans="11:13" x14ac:dyDescent="0.25">
      <c r="L60" s="14">
        <f>SUBTOTAL(9,L55:L59)</f>
        <v>2990</v>
      </c>
      <c r="M60" s="14">
        <f>M55</f>
        <v>2</v>
      </c>
    </row>
  </sheetData>
  <autoFilter ref="A2:P26" xr:uid="{00000000-0009-0000-0000-000009000000}">
    <sortState xmlns:xlrd2="http://schemas.microsoft.com/office/spreadsheetml/2017/richdata2" ref="A3:P26">
      <sortCondition ref="J2:J26"/>
    </sortState>
  </autoFilter>
  <mergeCells count="8">
    <mergeCell ref="C35:D35"/>
    <mergeCell ref="C36:D36"/>
    <mergeCell ref="C38:D38"/>
    <mergeCell ref="C30:D30"/>
    <mergeCell ref="C31:D31"/>
    <mergeCell ref="C32:D32"/>
    <mergeCell ref="C33:D33"/>
    <mergeCell ref="C34:D34"/>
  </mergeCells>
  <pageMargins left="0.75" right="0.75" top="0.75" bottom="0.5" header="0.5" footer="0.7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R55"/>
  <sheetViews>
    <sheetView topLeftCell="A16" workbookViewId="0">
      <selection activeCell="I28" sqref="I28"/>
    </sheetView>
  </sheetViews>
  <sheetFormatPr defaultRowHeight="15" x14ac:dyDescent="0.25"/>
  <cols>
    <col min="1" max="1" width="12.7109375" customWidth="1"/>
    <col min="2" max="2" width="17.7109375" customWidth="1"/>
    <col min="3" max="3" width="26.5703125" customWidth="1"/>
    <col min="4" max="4" width="9.85546875" customWidth="1"/>
    <col min="5" max="5" width="55.42578125" customWidth="1"/>
    <col min="6" max="6" width="10.71093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0.42578125" customWidth="1"/>
    <col min="13" max="13" width="14.7109375" bestFit="1" customWidth="1"/>
    <col min="14" max="14" width="9.7109375" customWidth="1"/>
    <col min="15" max="15" width="10.42578125" customWidth="1"/>
    <col min="16" max="16" width="7" bestFit="1" customWidth="1"/>
  </cols>
  <sheetData>
    <row r="2" spans="1:18" x14ac:dyDescent="0.25">
      <c r="A2" s="15" t="s">
        <v>10</v>
      </c>
      <c r="B2" s="15" t="s">
        <v>11</v>
      </c>
      <c r="C2" s="15" t="s">
        <v>12</v>
      </c>
      <c r="D2" s="15" t="s">
        <v>13</v>
      </c>
      <c r="E2" s="15" t="s">
        <v>14</v>
      </c>
      <c r="F2" s="15" t="s">
        <v>15</v>
      </c>
      <c r="G2" s="15" t="s">
        <v>16</v>
      </c>
      <c r="H2" s="15" t="s">
        <v>17</v>
      </c>
      <c r="I2" s="15" t="s">
        <v>18</v>
      </c>
      <c r="J2" s="15" t="s">
        <v>19</v>
      </c>
      <c r="K2" s="15" t="s">
        <v>20</v>
      </c>
      <c r="L2" s="15" t="s">
        <v>21</v>
      </c>
      <c r="M2" s="15" t="s">
        <v>22</v>
      </c>
      <c r="N2" s="15" t="s">
        <v>23</v>
      </c>
      <c r="O2" s="15" t="s">
        <v>24</v>
      </c>
      <c r="P2" s="15" t="s">
        <v>25</v>
      </c>
      <c r="Q2" s="16"/>
    </row>
    <row r="3" spans="1:18" x14ac:dyDescent="0.25">
      <c r="A3" s="16"/>
      <c r="B3" s="16" t="s">
        <v>26</v>
      </c>
      <c r="C3" s="16" t="s">
        <v>1011</v>
      </c>
      <c r="D3" s="16" t="s">
        <v>1012</v>
      </c>
      <c r="E3" s="16" t="s">
        <v>1013</v>
      </c>
      <c r="F3" s="17">
        <v>9</v>
      </c>
      <c r="G3" s="17">
        <v>0</v>
      </c>
      <c r="H3" s="17">
        <v>30</v>
      </c>
      <c r="I3" s="17">
        <f t="shared" ref="I3:I29" si="0">G3-H3</f>
        <v>-30</v>
      </c>
      <c r="J3" s="16" t="s">
        <v>1014</v>
      </c>
      <c r="K3" s="16" t="s">
        <v>32</v>
      </c>
      <c r="L3" s="16" t="s">
        <v>1015</v>
      </c>
      <c r="M3" s="18" t="s">
        <v>1016</v>
      </c>
      <c r="N3" s="16"/>
      <c r="O3" s="16"/>
      <c r="P3" s="16"/>
      <c r="Q3" s="16">
        <v>1</v>
      </c>
      <c r="R3" s="10">
        <f>H3</f>
        <v>30</v>
      </c>
    </row>
    <row r="4" spans="1:18" s="21" customFormat="1" x14ac:dyDescent="0.25">
      <c r="A4" s="19"/>
      <c r="B4" s="19" t="s">
        <v>26</v>
      </c>
      <c r="C4" s="19" t="s">
        <v>831</v>
      </c>
      <c r="D4" s="19" t="s">
        <v>1017</v>
      </c>
      <c r="E4" s="19" t="s">
        <v>1018</v>
      </c>
      <c r="F4" s="19" t="s">
        <v>30</v>
      </c>
      <c r="G4" s="20">
        <v>65</v>
      </c>
      <c r="H4" s="20">
        <v>25</v>
      </c>
      <c r="I4" s="20">
        <f t="shared" si="0"/>
        <v>40</v>
      </c>
      <c r="J4" s="19" t="s">
        <v>1014</v>
      </c>
      <c r="K4" s="19" t="s">
        <v>32</v>
      </c>
      <c r="L4" s="19" t="s">
        <v>1015</v>
      </c>
      <c r="M4" s="19" t="s">
        <v>68</v>
      </c>
      <c r="N4" s="19"/>
      <c r="O4" s="19"/>
      <c r="P4" s="19"/>
      <c r="Q4" s="19">
        <v>1</v>
      </c>
    </row>
    <row r="5" spans="1:18" x14ac:dyDescent="0.25">
      <c r="A5" s="16"/>
      <c r="B5" s="16" t="s">
        <v>26</v>
      </c>
      <c r="C5" s="16" t="s">
        <v>1019</v>
      </c>
      <c r="D5" s="16" t="s">
        <v>1020</v>
      </c>
      <c r="E5" s="16" t="s">
        <v>1021</v>
      </c>
      <c r="F5" s="16" t="s">
        <v>30</v>
      </c>
      <c r="G5" s="17">
        <v>895</v>
      </c>
      <c r="H5" s="17">
        <v>25</v>
      </c>
      <c r="I5" s="17">
        <f t="shared" si="0"/>
        <v>870</v>
      </c>
      <c r="J5" s="16" t="s">
        <v>1014</v>
      </c>
      <c r="K5" s="16" t="s">
        <v>32</v>
      </c>
      <c r="L5" s="16" t="s">
        <v>1015</v>
      </c>
      <c r="M5" s="16"/>
      <c r="N5" s="16"/>
      <c r="O5" s="16"/>
      <c r="P5" s="16"/>
      <c r="Q5" s="16">
        <v>1</v>
      </c>
    </row>
    <row r="6" spans="1:18" x14ac:dyDescent="0.25">
      <c r="A6" s="16"/>
      <c r="B6" s="16" t="s">
        <v>26</v>
      </c>
      <c r="C6" s="16" t="s">
        <v>1022</v>
      </c>
      <c r="D6" s="16" t="s">
        <v>1023</v>
      </c>
      <c r="E6" s="16" t="s">
        <v>1024</v>
      </c>
      <c r="F6" s="17">
        <v>9</v>
      </c>
      <c r="G6" s="17">
        <v>1450</v>
      </c>
      <c r="H6" s="17">
        <v>30</v>
      </c>
      <c r="I6" s="17">
        <f t="shared" si="0"/>
        <v>1420</v>
      </c>
      <c r="J6" s="16" t="s">
        <v>1014</v>
      </c>
      <c r="K6" s="16" t="s">
        <v>32</v>
      </c>
      <c r="L6" s="16" t="s">
        <v>1015</v>
      </c>
      <c r="M6" s="16"/>
      <c r="N6" s="16"/>
      <c r="O6" s="16"/>
      <c r="P6" s="16"/>
      <c r="Q6" s="16">
        <v>1</v>
      </c>
    </row>
    <row r="7" spans="1:18" x14ac:dyDescent="0.25">
      <c r="A7" s="16"/>
      <c r="B7" s="16" t="s">
        <v>26</v>
      </c>
      <c r="C7" s="16" t="s">
        <v>1025</v>
      </c>
      <c r="D7" s="16" t="s">
        <v>1026</v>
      </c>
      <c r="E7" s="16" t="s">
        <v>1027</v>
      </c>
      <c r="F7" s="16" t="s">
        <v>51</v>
      </c>
      <c r="G7" s="17">
        <v>0</v>
      </c>
      <c r="H7" s="17">
        <v>30</v>
      </c>
      <c r="I7" s="17">
        <f t="shared" si="0"/>
        <v>-30</v>
      </c>
      <c r="J7" s="16" t="s">
        <v>1014</v>
      </c>
      <c r="K7" s="16" t="s">
        <v>32</v>
      </c>
      <c r="L7" s="16" t="s">
        <v>1015</v>
      </c>
      <c r="M7" s="16"/>
      <c r="N7" s="16"/>
      <c r="O7" s="16"/>
      <c r="P7" s="16"/>
      <c r="Q7" s="16">
        <v>1</v>
      </c>
      <c r="R7" s="10">
        <f>H7</f>
        <v>30</v>
      </c>
    </row>
    <row r="8" spans="1:18" x14ac:dyDescent="0.25">
      <c r="A8" s="16" t="s">
        <v>141</v>
      </c>
      <c r="B8" s="16" t="s">
        <v>26</v>
      </c>
      <c r="C8" s="16" t="s">
        <v>1028</v>
      </c>
      <c r="D8" s="16"/>
      <c r="E8" s="16" t="s">
        <v>1029</v>
      </c>
      <c r="F8" s="16" t="s">
        <v>89</v>
      </c>
      <c r="G8" s="17">
        <v>1135</v>
      </c>
      <c r="H8" s="17">
        <v>35</v>
      </c>
      <c r="I8" s="17">
        <f t="shared" si="0"/>
        <v>1100</v>
      </c>
      <c r="J8" s="16" t="s">
        <v>32</v>
      </c>
      <c r="K8" s="16" t="s">
        <v>32</v>
      </c>
      <c r="L8" s="16" t="s">
        <v>1015</v>
      </c>
      <c r="M8" s="16"/>
      <c r="N8" s="16"/>
      <c r="O8" s="16"/>
      <c r="P8" s="16"/>
      <c r="Q8" s="16">
        <v>1</v>
      </c>
    </row>
    <row r="9" spans="1:18" x14ac:dyDescent="0.25">
      <c r="A9" s="16" t="s">
        <v>141</v>
      </c>
      <c r="B9" s="16" t="s">
        <v>26</v>
      </c>
      <c r="C9" s="16" t="s">
        <v>1030</v>
      </c>
      <c r="D9" s="16"/>
      <c r="E9" s="16" t="s">
        <v>317</v>
      </c>
      <c r="F9" s="17">
        <v>12</v>
      </c>
      <c r="G9" s="17">
        <v>0</v>
      </c>
      <c r="H9" s="17">
        <v>35</v>
      </c>
      <c r="I9" s="17">
        <f t="shared" si="0"/>
        <v>-35</v>
      </c>
      <c r="J9" s="16" t="s">
        <v>32</v>
      </c>
      <c r="K9" s="16" t="s">
        <v>32</v>
      </c>
      <c r="L9" s="16" t="s">
        <v>1015</v>
      </c>
      <c r="M9" s="16"/>
      <c r="N9" s="16"/>
      <c r="O9" s="16"/>
      <c r="P9" s="16"/>
      <c r="Q9" s="16">
        <v>1</v>
      </c>
      <c r="R9" s="10">
        <f>H9</f>
        <v>35</v>
      </c>
    </row>
    <row r="10" spans="1:18" x14ac:dyDescent="0.25">
      <c r="A10" s="16"/>
      <c r="B10" s="16" t="s">
        <v>26</v>
      </c>
      <c r="C10" s="16" t="s">
        <v>411</v>
      </c>
      <c r="D10" s="16" t="s">
        <v>1031</v>
      </c>
      <c r="E10" s="16" t="s">
        <v>413</v>
      </c>
      <c r="F10" s="17">
        <v>2</v>
      </c>
      <c r="G10" s="17">
        <v>890</v>
      </c>
      <c r="H10" s="17">
        <v>30</v>
      </c>
      <c r="I10" s="17">
        <f t="shared" si="0"/>
        <v>860</v>
      </c>
      <c r="J10" s="16" t="s">
        <v>32</v>
      </c>
      <c r="K10" s="16" t="s">
        <v>32</v>
      </c>
      <c r="L10" s="16" t="s">
        <v>1015</v>
      </c>
      <c r="M10" s="16"/>
      <c r="N10" s="16"/>
      <c r="O10" s="16"/>
      <c r="P10" s="16"/>
      <c r="Q10" s="16">
        <v>1</v>
      </c>
    </row>
    <row r="11" spans="1:18" x14ac:dyDescent="0.25">
      <c r="A11" s="16"/>
      <c r="B11" s="16" t="s">
        <v>26</v>
      </c>
      <c r="C11" s="16" t="s">
        <v>652</v>
      </c>
      <c r="D11" s="16" t="s">
        <v>1032</v>
      </c>
      <c r="E11" s="16" t="s">
        <v>1033</v>
      </c>
      <c r="F11" s="16" t="s">
        <v>82</v>
      </c>
      <c r="G11" s="17">
        <v>885</v>
      </c>
      <c r="H11" s="17">
        <v>25</v>
      </c>
      <c r="I11" s="17">
        <f t="shared" si="0"/>
        <v>860</v>
      </c>
      <c r="J11" s="16" t="s">
        <v>32</v>
      </c>
      <c r="K11" s="16" t="s">
        <v>32</v>
      </c>
      <c r="L11" s="16" t="s">
        <v>1015</v>
      </c>
      <c r="M11" s="16"/>
      <c r="N11" s="16"/>
      <c r="O11" s="16"/>
      <c r="P11" s="16"/>
      <c r="Q11" s="16">
        <v>1</v>
      </c>
    </row>
    <row r="12" spans="1:18" x14ac:dyDescent="0.25">
      <c r="A12" s="16"/>
      <c r="B12" s="16" t="s">
        <v>26</v>
      </c>
      <c r="C12" s="16" t="s">
        <v>219</v>
      </c>
      <c r="D12" s="16" t="s">
        <v>1034</v>
      </c>
      <c r="E12" s="16" t="s">
        <v>760</v>
      </c>
      <c r="F12" s="16" t="s">
        <v>75</v>
      </c>
      <c r="G12" s="17">
        <v>690</v>
      </c>
      <c r="H12" s="17">
        <v>20</v>
      </c>
      <c r="I12" s="17">
        <f t="shared" si="0"/>
        <v>670</v>
      </c>
      <c r="J12" s="16" t="s">
        <v>32</v>
      </c>
      <c r="K12" s="16" t="s">
        <v>32</v>
      </c>
      <c r="L12" s="16" t="s">
        <v>1015</v>
      </c>
      <c r="M12" s="16"/>
      <c r="N12" s="16"/>
      <c r="O12" s="16"/>
      <c r="P12" s="16"/>
      <c r="Q12" s="16">
        <v>1</v>
      </c>
    </row>
    <row r="13" spans="1:18" x14ac:dyDescent="0.25">
      <c r="A13" s="16"/>
      <c r="B13" s="16" t="s">
        <v>26</v>
      </c>
      <c r="C13" s="16" t="s">
        <v>1035</v>
      </c>
      <c r="D13" s="16" t="s">
        <v>1036</v>
      </c>
      <c r="E13" s="16" t="s">
        <v>1037</v>
      </c>
      <c r="F13" s="16" t="s">
        <v>82</v>
      </c>
      <c r="G13" s="17">
        <v>1175</v>
      </c>
      <c r="H13" s="17">
        <v>25</v>
      </c>
      <c r="I13" s="17">
        <f t="shared" si="0"/>
        <v>1150</v>
      </c>
      <c r="J13" s="16" t="s">
        <v>32</v>
      </c>
      <c r="K13" s="16" t="s">
        <v>32</v>
      </c>
      <c r="L13" s="16" t="s">
        <v>1015</v>
      </c>
      <c r="M13" s="16"/>
      <c r="N13" s="16"/>
      <c r="O13" s="16"/>
      <c r="P13" s="16"/>
      <c r="Q13" s="16">
        <v>1</v>
      </c>
    </row>
    <row r="14" spans="1:18" x14ac:dyDescent="0.25">
      <c r="A14" s="16"/>
      <c r="B14" s="16" t="s">
        <v>26</v>
      </c>
      <c r="C14" s="16" t="s">
        <v>1038</v>
      </c>
      <c r="D14" s="16" t="s">
        <v>1039</v>
      </c>
      <c r="E14" s="16" t="s">
        <v>1040</v>
      </c>
      <c r="F14" s="16" t="s">
        <v>75</v>
      </c>
      <c r="G14" s="17">
        <v>0</v>
      </c>
      <c r="H14" s="17">
        <v>20</v>
      </c>
      <c r="I14" s="17">
        <f t="shared" si="0"/>
        <v>-20</v>
      </c>
      <c r="J14" s="16" t="s">
        <v>32</v>
      </c>
      <c r="K14" s="16" t="s">
        <v>32</v>
      </c>
      <c r="L14" s="16" t="s">
        <v>1015</v>
      </c>
      <c r="M14" s="16"/>
      <c r="N14" s="16"/>
      <c r="O14" s="16"/>
      <c r="P14" s="16"/>
      <c r="Q14" s="16">
        <v>1</v>
      </c>
      <c r="R14" s="10">
        <f>H14</f>
        <v>20</v>
      </c>
    </row>
    <row r="15" spans="1:18" x14ac:dyDescent="0.25">
      <c r="A15" s="16"/>
      <c r="B15" s="16" t="s">
        <v>26</v>
      </c>
      <c r="C15" s="16" t="s">
        <v>1041</v>
      </c>
      <c r="D15" s="16" t="s">
        <v>1042</v>
      </c>
      <c r="E15" s="16" t="s">
        <v>1043</v>
      </c>
      <c r="F15" s="17">
        <v>2</v>
      </c>
      <c r="G15" s="17">
        <v>870</v>
      </c>
      <c r="H15" s="17">
        <v>30</v>
      </c>
      <c r="I15" s="17">
        <f t="shared" si="0"/>
        <v>840</v>
      </c>
      <c r="J15" s="16" t="s">
        <v>32</v>
      </c>
      <c r="K15" s="16" t="s">
        <v>32</v>
      </c>
      <c r="L15" s="16" t="s">
        <v>1015</v>
      </c>
      <c r="M15" s="16"/>
      <c r="N15" s="16"/>
      <c r="O15" s="16"/>
      <c r="P15" s="16"/>
      <c r="Q15" s="16">
        <v>1</v>
      </c>
    </row>
    <row r="16" spans="1:18" x14ac:dyDescent="0.25">
      <c r="A16" s="16"/>
      <c r="B16" s="16" t="s">
        <v>26</v>
      </c>
      <c r="C16" s="16" t="s">
        <v>1044</v>
      </c>
      <c r="D16" s="16" t="s">
        <v>1045</v>
      </c>
      <c r="E16" s="16" t="s">
        <v>1046</v>
      </c>
      <c r="F16" s="16" t="s">
        <v>82</v>
      </c>
      <c r="G16" s="17">
        <v>0</v>
      </c>
      <c r="H16" s="17">
        <v>25</v>
      </c>
      <c r="I16" s="17">
        <f t="shared" si="0"/>
        <v>-25</v>
      </c>
      <c r="J16" s="16" t="s">
        <v>32</v>
      </c>
      <c r="K16" s="16" t="s">
        <v>32</v>
      </c>
      <c r="L16" s="16" t="s">
        <v>1015</v>
      </c>
      <c r="M16" s="16"/>
      <c r="N16" s="16"/>
      <c r="O16" s="16"/>
      <c r="P16" s="16"/>
      <c r="Q16" s="16">
        <v>1</v>
      </c>
      <c r="R16" s="10">
        <f>H16</f>
        <v>25</v>
      </c>
    </row>
    <row r="17" spans="1:18" x14ac:dyDescent="0.25">
      <c r="A17" s="16"/>
      <c r="B17" s="16" t="s">
        <v>26</v>
      </c>
      <c r="C17" s="16" t="s">
        <v>825</v>
      </c>
      <c r="D17" s="16" t="s">
        <v>1047</v>
      </c>
      <c r="E17" s="16" t="s">
        <v>1048</v>
      </c>
      <c r="F17" s="17">
        <v>12</v>
      </c>
      <c r="G17" s="17">
        <v>0</v>
      </c>
      <c r="H17" s="17">
        <v>30</v>
      </c>
      <c r="I17" s="17">
        <f t="shared" si="0"/>
        <v>-30</v>
      </c>
      <c r="J17" s="16" t="s">
        <v>32</v>
      </c>
      <c r="K17" s="16" t="s">
        <v>32</v>
      </c>
      <c r="L17" s="16" t="s">
        <v>1015</v>
      </c>
      <c r="M17" s="16"/>
      <c r="N17" s="16"/>
      <c r="O17" s="16"/>
      <c r="P17" s="16"/>
      <c r="Q17" s="16">
        <v>1</v>
      </c>
      <c r="R17" s="10">
        <f>H17</f>
        <v>30</v>
      </c>
    </row>
    <row r="18" spans="1:18" x14ac:dyDescent="0.25">
      <c r="A18" s="16"/>
      <c r="B18" s="16" t="s">
        <v>26</v>
      </c>
      <c r="C18" s="16" t="s">
        <v>1049</v>
      </c>
      <c r="D18" s="16" t="s">
        <v>1050</v>
      </c>
      <c r="E18" s="16" t="s">
        <v>1051</v>
      </c>
      <c r="F18" s="17">
        <v>12</v>
      </c>
      <c r="G18" s="17">
        <v>3490</v>
      </c>
      <c r="H18" s="17">
        <v>40</v>
      </c>
      <c r="I18" s="17">
        <f t="shared" si="0"/>
        <v>3450</v>
      </c>
      <c r="J18" s="16" t="s">
        <v>32</v>
      </c>
      <c r="K18" s="16" t="s">
        <v>32</v>
      </c>
      <c r="L18" s="16" t="s">
        <v>1015</v>
      </c>
      <c r="M18" s="18" t="s">
        <v>55</v>
      </c>
      <c r="N18" s="16"/>
      <c r="O18" s="16"/>
      <c r="P18" s="16"/>
      <c r="Q18" s="16">
        <v>1</v>
      </c>
    </row>
    <row r="19" spans="1:18" x14ac:dyDescent="0.25">
      <c r="A19" s="16" t="s">
        <v>141</v>
      </c>
      <c r="B19" s="16" t="s">
        <v>26</v>
      </c>
      <c r="C19" s="16" t="s">
        <v>1052</v>
      </c>
      <c r="D19" s="16"/>
      <c r="E19" s="16" t="s">
        <v>1053</v>
      </c>
      <c r="F19" s="17">
        <v>3</v>
      </c>
      <c r="G19" s="17">
        <v>30</v>
      </c>
      <c r="H19" s="17">
        <v>30</v>
      </c>
      <c r="I19" s="17">
        <f t="shared" si="0"/>
        <v>0</v>
      </c>
      <c r="J19" s="16" t="s">
        <v>103</v>
      </c>
      <c r="K19" s="16" t="s">
        <v>32</v>
      </c>
      <c r="L19" s="16" t="s">
        <v>1015</v>
      </c>
      <c r="M19" s="16"/>
      <c r="N19" s="16"/>
      <c r="O19" s="16"/>
      <c r="P19" s="16"/>
      <c r="Q19" s="16">
        <v>1</v>
      </c>
    </row>
    <row r="20" spans="1:18" x14ac:dyDescent="0.25">
      <c r="A20" s="16" t="s">
        <v>141</v>
      </c>
      <c r="B20" s="16" t="s">
        <v>26</v>
      </c>
      <c r="C20" s="16" t="s">
        <v>1054</v>
      </c>
      <c r="D20" s="16"/>
      <c r="E20" s="16" t="s">
        <v>1055</v>
      </c>
      <c r="F20" s="17">
        <v>5</v>
      </c>
      <c r="G20" s="17">
        <v>610</v>
      </c>
      <c r="H20" s="17">
        <v>30</v>
      </c>
      <c r="I20" s="17">
        <f t="shared" si="0"/>
        <v>580</v>
      </c>
      <c r="J20" s="16" t="s">
        <v>103</v>
      </c>
      <c r="K20" s="16" t="s">
        <v>32</v>
      </c>
      <c r="L20" s="16" t="s">
        <v>1015</v>
      </c>
      <c r="M20" s="16"/>
      <c r="N20" s="16"/>
      <c r="O20" s="16"/>
      <c r="P20" s="16"/>
      <c r="Q20" s="16">
        <v>1</v>
      </c>
    </row>
    <row r="21" spans="1:18" s="21" customFormat="1" x14ac:dyDescent="0.25">
      <c r="A21" s="19"/>
      <c r="B21" s="19" t="s">
        <v>26</v>
      </c>
      <c r="C21" s="19" t="s">
        <v>247</v>
      </c>
      <c r="D21" s="19" t="s">
        <v>1056</v>
      </c>
      <c r="E21" s="19" t="s">
        <v>249</v>
      </c>
      <c r="F21" s="20">
        <v>7</v>
      </c>
      <c r="G21" s="20">
        <v>80</v>
      </c>
      <c r="H21" s="20">
        <v>30</v>
      </c>
      <c r="I21" s="20">
        <f t="shared" si="0"/>
        <v>50</v>
      </c>
      <c r="J21" s="19" t="s">
        <v>103</v>
      </c>
      <c r="K21" s="19" t="s">
        <v>32</v>
      </c>
      <c r="L21" s="19" t="s">
        <v>1015</v>
      </c>
      <c r="M21" s="19" t="s">
        <v>68</v>
      </c>
      <c r="N21" s="19"/>
      <c r="O21" s="19"/>
      <c r="P21" s="19"/>
      <c r="Q21" s="19">
        <v>1</v>
      </c>
    </row>
    <row r="22" spans="1:18" x14ac:dyDescent="0.25">
      <c r="A22" s="16"/>
      <c r="B22" s="16" t="s">
        <v>26</v>
      </c>
      <c r="C22" s="16" t="s">
        <v>665</v>
      </c>
      <c r="D22" s="16" t="s">
        <v>1057</v>
      </c>
      <c r="E22" s="16" t="s">
        <v>667</v>
      </c>
      <c r="F22" s="17">
        <v>4</v>
      </c>
      <c r="G22" s="17">
        <v>755</v>
      </c>
      <c r="H22" s="17">
        <v>25</v>
      </c>
      <c r="I22" s="17">
        <f t="shared" si="0"/>
        <v>730</v>
      </c>
      <c r="J22" s="16" t="s">
        <v>103</v>
      </c>
      <c r="K22" s="16" t="s">
        <v>32</v>
      </c>
      <c r="L22" s="16" t="s">
        <v>1015</v>
      </c>
      <c r="M22" s="16"/>
      <c r="N22" s="16"/>
      <c r="O22" s="16"/>
      <c r="P22" s="16"/>
      <c r="Q22" s="16">
        <v>1</v>
      </c>
    </row>
    <row r="23" spans="1:18" x14ac:dyDescent="0.25">
      <c r="A23" s="16"/>
      <c r="B23" s="16" t="s">
        <v>26</v>
      </c>
      <c r="C23" s="16" t="s">
        <v>700</v>
      </c>
      <c r="D23" s="16" t="s">
        <v>1058</v>
      </c>
      <c r="E23" s="16" t="s">
        <v>702</v>
      </c>
      <c r="F23" s="17">
        <v>10</v>
      </c>
      <c r="G23" s="17">
        <v>0</v>
      </c>
      <c r="H23" s="17">
        <v>25</v>
      </c>
      <c r="I23" s="17">
        <f t="shared" si="0"/>
        <v>-25</v>
      </c>
      <c r="J23" s="16" t="s">
        <v>103</v>
      </c>
      <c r="K23" s="16" t="s">
        <v>32</v>
      </c>
      <c r="L23" s="16" t="s">
        <v>1015</v>
      </c>
      <c r="M23" s="18" t="s">
        <v>1059</v>
      </c>
      <c r="N23" s="16"/>
      <c r="O23" s="16"/>
      <c r="P23" s="16"/>
      <c r="Q23" s="16">
        <v>1</v>
      </c>
      <c r="R23" s="10">
        <f>H23</f>
        <v>25</v>
      </c>
    </row>
    <row r="24" spans="1:18" x14ac:dyDescent="0.25">
      <c r="A24" s="16"/>
      <c r="B24" s="16" t="s">
        <v>26</v>
      </c>
      <c r="C24" s="16" t="s">
        <v>350</v>
      </c>
      <c r="D24" s="16" t="s">
        <v>1060</v>
      </c>
      <c r="E24" s="16" t="s">
        <v>352</v>
      </c>
      <c r="F24" s="17">
        <v>1</v>
      </c>
      <c r="G24" s="17">
        <v>1305</v>
      </c>
      <c r="H24" s="17">
        <v>25</v>
      </c>
      <c r="I24" s="17">
        <f t="shared" si="0"/>
        <v>1280</v>
      </c>
      <c r="J24" s="16" t="s">
        <v>103</v>
      </c>
      <c r="K24" s="16" t="s">
        <v>32</v>
      </c>
      <c r="L24" s="16" t="s">
        <v>1015</v>
      </c>
      <c r="M24" s="16"/>
      <c r="N24" s="16"/>
      <c r="O24" s="16"/>
      <c r="P24" s="16"/>
      <c r="Q24" s="16">
        <v>1</v>
      </c>
    </row>
    <row r="25" spans="1:18" x14ac:dyDescent="0.25">
      <c r="A25" s="16"/>
      <c r="B25" s="16" t="s">
        <v>26</v>
      </c>
      <c r="C25" s="16" t="s">
        <v>1061</v>
      </c>
      <c r="D25" s="16" t="s">
        <v>1062</v>
      </c>
      <c r="E25" s="16" t="s">
        <v>1063</v>
      </c>
      <c r="F25" s="16" t="s">
        <v>93</v>
      </c>
      <c r="G25" s="17">
        <v>2640</v>
      </c>
      <c r="H25" s="17">
        <v>30</v>
      </c>
      <c r="I25" s="17">
        <f t="shared" si="0"/>
        <v>2610</v>
      </c>
      <c r="J25" s="16" t="s">
        <v>103</v>
      </c>
      <c r="K25" s="16" t="s">
        <v>32</v>
      </c>
      <c r="L25" s="16" t="s">
        <v>1015</v>
      </c>
      <c r="M25" s="16"/>
      <c r="N25" s="16"/>
      <c r="O25" s="16"/>
      <c r="P25" s="16"/>
      <c r="Q25" s="16">
        <v>1</v>
      </c>
    </row>
    <row r="26" spans="1:18" x14ac:dyDescent="0.25">
      <c r="A26" s="16"/>
      <c r="B26" s="16" t="s">
        <v>26</v>
      </c>
      <c r="C26" s="16" t="s">
        <v>189</v>
      </c>
      <c r="D26" s="16" t="s">
        <v>1064</v>
      </c>
      <c r="E26" s="16" t="s">
        <v>1065</v>
      </c>
      <c r="F26" s="16" t="s">
        <v>93</v>
      </c>
      <c r="G26" s="17">
        <v>695</v>
      </c>
      <c r="H26" s="17">
        <v>25</v>
      </c>
      <c r="I26" s="17">
        <f t="shared" si="0"/>
        <v>670</v>
      </c>
      <c r="J26" s="16" t="s">
        <v>103</v>
      </c>
      <c r="K26" s="16" t="s">
        <v>32</v>
      </c>
      <c r="L26" s="16" t="s">
        <v>1015</v>
      </c>
      <c r="M26" s="16"/>
      <c r="N26" s="16"/>
      <c r="O26" s="16"/>
      <c r="P26" s="16"/>
      <c r="Q26" s="16">
        <v>1</v>
      </c>
    </row>
    <row r="27" spans="1:18" x14ac:dyDescent="0.25">
      <c r="A27" s="16"/>
      <c r="B27" s="16" t="s">
        <v>26</v>
      </c>
      <c r="C27" s="16" t="s">
        <v>777</v>
      </c>
      <c r="D27" s="16" t="s">
        <v>1066</v>
      </c>
      <c r="E27" s="16" t="s">
        <v>779</v>
      </c>
      <c r="F27" s="16" t="s">
        <v>243</v>
      </c>
      <c r="G27" s="17">
        <v>925</v>
      </c>
      <c r="H27" s="17">
        <v>35</v>
      </c>
      <c r="I27" s="17">
        <f t="shared" si="0"/>
        <v>890</v>
      </c>
      <c r="J27" s="16" t="s">
        <v>103</v>
      </c>
      <c r="K27" s="16" t="s">
        <v>32</v>
      </c>
      <c r="L27" s="16" t="s">
        <v>1015</v>
      </c>
      <c r="M27" s="16"/>
      <c r="N27" s="16"/>
      <c r="O27" s="16"/>
      <c r="P27" s="16"/>
      <c r="Q27" s="16">
        <v>1</v>
      </c>
    </row>
    <row r="28" spans="1:18" s="2" customFormat="1" x14ac:dyDescent="0.25">
      <c r="A28" s="23"/>
      <c r="B28" s="23" t="s">
        <v>26</v>
      </c>
      <c r="C28" s="23" t="s">
        <v>986</v>
      </c>
      <c r="D28" s="23" t="s">
        <v>987</v>
      </c>
      <c r="E28" s="23" t="s">
        <v>988</v>
      </c>
      <c r="F28" s="23" t="s">
        <v>75</v>
      </c>
      <c r="G28" s="24">
        <v>0</v>
      </c>
      <c r="H28" s="24">
        <v>0</v>
      </c>
      <c r="I28" s="24">
        <f t="shared" si="0"/>
        <v>0</v>
      </c>
      <c r="J28" s="23" t="s">
        <v>269</v>
      </c>
      <c r="K28" s="23" t="s">
        <v>32</v>
      </c>
      <c r="L28" s="23" t="s">
        <v>955</v>
      </c>
      <c r="M28" s="23" t="s">
        <v>157</v>
      </c>
      <c r="N28" s="23" t="s">
        <v>271</v>
      </c>
      <c r="O28" s="23" t="s">
        <v>271</v>
      </c>
      <c r="P28" s="23" t="s">
        <v>272</v>
      </c>
      <c r="Q28" s="23">
        <v>1</v>
      </c>
    </row>
    <row r="29" spans="1:18" s="2" customFormat="1" x14ac:dyDescent="0.25">
      <c r="A29" s="23"/>
      <c r="B29" s="23" t="s">
        <v>26</v>
      </c>
      <c r="C29" s="23" t="s">
        <v>862</v>
      </c>
      <c r="D29" s="23" t="s">
        <v>863</v>
      </c>
      <c r="E29" s="23" t="s">
        <v>864</v>
      </c>
      <c r="F29" s="24">
        <v>2</v>
      </c>
      <c r="G29" s="24">
        <v>940</v>
      </c>
      <c r="H29" s="24">
        <v>0</v>
      </c>
      <c r="I29" s="24">
        <f t="shared" si="0"/>
        <v>940</v>
      </c>
      <c r="J29" s="23" t="s">
        <v>269</v>
      </c>
      <c r="K29" s="23" t="s">
        <v>32</v>
      </c>
      <c r="L29" s="23" t="s">
        <v>811</v>
      </c>
      <c r="M29" s="23" t="s">
        <v>157</v>
      </c>
      <c r="N29" s="23" t="s">
        <v>271</v>
      </c>
      <c r="O29" s="23" t="s">
        <v>271</v>
      </c>
      <c r="P29" s="23" t="s">
        <v>272</v>
      </c>
      <c r="Q29" s="23">
        <v>1</v>
      </c>
    </row>
    <row r="31" spans="1:18" x14ac:dyDescent="0.25">
      <c r="D31" s="1">
        <f>COUNTA(D3:D29)</f>
        <v>23</v>
      </c>
      <c r="G31" s="1">
        <f t="shared" ref="G31:Q31" si="1">SUBTOTAL(9,G3:G29)</f>
        <v>19525</v>
      </c>
      <c r="H31" s="1">
        <f t="shared" si="1"/>
        <v>710</v>
      </c>
      <c r="I31" s="1">
        <f t="shared" si="1"/>
        <v>18815</v>
      </c>
      <c r="J31" s="1">
        <f t="shared" si="1"/>
        <v>0</v>
      </c>
      <c r="K31" s="1">
        <f t="shared" si="1"/>
        <v>0</v>
      </c>
      <c r="L31" s="1">
        <f t="shared" si="1"/>
        <v>0</v>
      </c>
      <c r="M31" s="1">
        <f t="shared" si="1"/>
        <v>0</v>
      </c>
      <c r="N31" s="1">
        <f t="shared" si="1"/>
        <v>0</v>
      </c>
      <c r="O31" s="1">
        <f t="shared" si="1"/>
        <v>0</v>
      </c>
      <c r="P31" s="1">
        <f t="shared" si="1"/>
        <v>0</v>
      </c>
      <c r="Q31" s="1">
        <f t="shared" si="1"/>
        <v>27</v>
      </c>
    </row>
    <row r="32" spans="1:18" x14ac:dyDescent="0.25">
      <c r="H32">
        <f>-2*17</f>
        <v>-34</v>
      </c>
    </row>
    <row r="33" spans="1:16" x14ac:dyDescent="0.25">
      <c r="A33" s="1" t="s">
        <v>26</v>
      </c>
      <c r="C33" s="34" t="s">
        <v>144</v>
      </c>
      <c r="D33" s="34"/>
      <c r="E33" s="4" t="s">
        <v>145</v>
      </c>
      <c r="H33">
        <f>-3*25</f>
        <v>-75</v>
      </c>
      <c r="K33" s="11" t="s">
        <v>103</v>
      </c>
      <c r="L33" s="11" t="s">
        <v>146</v>
      </c>
      <c r="M33" s="11" t="s">
        <v>145</v>
      </c>
      <c r="O33" s="4" t="s">
        <v>147</v>
      </c>
    </row>
    <row r="34" spans="1:16" x14ac:dyDescent="0.25">
      <c r="A34" t="s">
        <v>1015</v>
      </c>
      <c r="B34" s="3" t="s">
        <v>148</v>
      </c>
      <c r="C34" s="35">
        <f>SUMIFS(I$3:I$29,B$3:B$29,A$33,L$3:L$29,A$34)</f>
        <v>17875</v>
      </c>
      <c r="D34" s="35"/>
      <c r="E34" s="3">
        <f>SUMIFS(Q$3:Q$29,B$3:B$29,A$33,L$3:L$29,A$34)</f>
        <v>25</v>
      </c>
      <c r="F34" t="s">
        <v>149</v>
      </c>
      <c r="K34" t="s">
        <v>150</v>
      </c>
      <c r="L34">
        <f>SUMIFS(G$3:G$29,J$3:J$29,K$33)</f>
        <v>7040</v>
      </c>
      <c r="M34">
        <f>SUMIFS(Q$3:Q$29,J$3:J$29,K$33)-INT(COUNTIFS(J$3:J$29,K$33,M$3:M$29,"*gộp*")/2)</f>
        <v>9</v>
      </c>
      <c r="O34" t="s">
        <v>103</v>
      </c>
      <c r="P34">
        <f>L39</f>
        <v>6830</v>
      </c>
    </row>
    <row r="35" spans="1:16" x14ac:dyDescent="0.25">
      <c r="B35" s="2" t="s">
        <v>152</v>
      </c>
      <c r="C35" s="36">
        <v>0</v>
      </c>
      <c r="D35" s="36"/>
      <c r="K35" t="s">
        <v>153</v>
      </c>
      <c r="L35">
        <f>-SUMIFS(H$3:H$29,J$3:J$29,K$33)+M35*5</f>
        <v>-210</v>
      </c>
      <c r="M35">
        <f>SUMIFS(Q$3:Q$29,J$3:J$29,K$33)-INT(COUNTIFS(J$3:J$29,K$33,M$3:M$29,"*gộp*")/2)</f>
        <v>9</v>
      </c>
      <c r="O35" t="s">
        <v>32</v>
      </c>
      <c r="P35">
        <f>L47</f>
        <v>7904</v>
      </c>
    </row>
    <row r="36" spans="1:16" x14ac:dyDescent="0.25">
      <c r="B36" s="2" t="s">
        <v>154</v>
      </c>
      <c r="C36" s="36">
        <f>-SUMIFS(I$3:I$29,B$3:B$29,A$33,P$3:P$29,"xx",N$3:N$29,"x")</f>
        <v>-940</v>
      </c>
      <c r="D36" s="36"/>
      <c r="E36" s="2">
        <f>SUMIFS(Q$3:Q$29,B$3:B$29,A$33,P$3:P$29,"xx",N$3:N$29,"x")</f>
        <v>2</v>
      </c>
      <c r="K36" t="s">
        <v>155</v>
      </c>
      <c r="O36" t="s">
        <v>1067</v>
      </c>
      <c r="P36">
        <f>L55</f>
        <v>2301</v>
      </c>
    </row>
    <row r="37" spans="1:16" x14ac:dyDescent="0.25">
      <c r="B37" s="4" t="s">
        <v>156</v>
      </c>
      <c r="C37" s="34">
        <f>SUBTOTAL(9,C34:C36)</f>
        <v>16935</v>
      </c>
      <c r="D37" s="34"/>
      <c r="E37">
        <f>E34</f>
        <v>25</v>
      </c>
      <c r="K37" s="12" t="s">
        <v>157</v>
      </c>
      <c r="O37" t="s">
        <v>158</v>
      </c>
      <c r="P37">
        <f>-C41</f>
        <v>-16935</v>
      </c>
    </row>
    <row r="38" spans="1:16" x14ac:dyDescent="0.25">
      <c r="B38" s="2" t="s">
        <v>159</v>
      </c>
      <c r="C38" s="32"/>
      <c r="D38" s="32"/>
      <c r="K38" s="2" t="s">
        <v>160</v>
      </c>
      <c r="O38" s="4" t="s">
        <v>161</v>
      </c>
      <c r="P38" s="4">
        <f>SUBTOTAL(9,P34:P37)</f>
        <v>100</v>
      </c>
    </row>
    <row r="39" spans="1:16" x14ac:dyDescent="0.25">
      <c r="B39" s="13" t="s">
        <v>162</v>
      </c>
      <c r="C39" s="32"/>
      <c r="D39" s="32"/>
      <c r="L39" s="14">
        <f>SUBTOTAL(9,L34:L38)</f>
        <v>6830</v>
      </c>
      <c r="M39" s="14">
        <f>M34</f>
        <v>9</v>
      </c>
    </row>
    <row r="41" spans="1:16" x14ac:dyDescent="0.25">
      <c r="B41" s="1" t="s">
        <v>163</v>
      </c>
      <c r="C41" s="33">
        <f>C37+C38+C39</f>
        <v>16935</v>
      </c>
      <c r="D41" s="33"/>
      <c r="E41" s="1" t="s">
        <v>164</v>
      </c>
      <c r="K41" s="11" t="s">
        <v>32</v>
      </c>
      <c r="L41" s="11" t="s">
        <v>146</v>
      </c>
      <c r="M41" s="11" t="s">
        <v>145</v>
      </c>
    </row>
    <row r="42" spans="1:16" x14ac:dyDescent="0.25">
      <c r="K42" t="s">
        <v>150</v>
      </c>
      <c r="L42">
        <f>SUMIFS(G$3:G$29,J$3:J$29,K$41)</f>
        <v>9135</v>
      </c>
      <c r="M42">
        <f>SUMIFS(Q$3:Q$29,J$3:J$29,K$41)-INT(COUNTIFS(J$3:J$29,K$41,M$3:M$29,"*gộp*")/2)</f>
        <v>11</v>
      </c>
    </row>
    <row r="43" spans="1:16" x14ac:dyDescent="0.25">
      <c r="K43" t="s">
        <v>153</v>
      </c>
      <c r="L43">
        <f>-SUMIFS(H$3:H$29,J$3:J$29,K$41)+M43*5</f>
        <v>-260</v>
      </c>
      <c r="M43">
        <f>SUMIFS(Q$3:Q$29,J$3:J$29,K$41)-INT(COUNTIFS(J$3:J$29,K$41,M$3:M$29,"*gộp*")/2)</f>
        <v>11</v>
      </c>
    </row>
    <row r="44" spans="1:16" x14ac:dyDescent="0.25">
      <c r="K44" t="s">
        <v>155</v>
      </c>
      <c r="L44">
        <f>-M44*2</f>
        <v>-46</v>
      </c>
      <c r="M44">
        <f>E37-(COUNTIFS(M$3:M$29,"*gộp*")/2)-COUNTIFS(M$3:M$29,"*đơn trả*")-COUNTIFS(M$3:M$29,"*hàng tỉnh*")</f>
        <v>23</v>
      </c>
    </row>
    <row r="45" spans="1:16" x14ac:dyDescent="0.25">
      <c r="K45" s="12" t="s">
        <v>157</v>
      </c>
      <c r="L45" s="25">
        <v>-925</v>
      </c>
      <c r="M45" s="25" t="s">
        <v>1068</v>
      </c>
    </row>
    <row r="46" spans="1:16" x14ac:dyDescent="0.25">
      <c r="K46" s="2" t="s">
        <v>160</v>
      </c>
    </row>
    <row r="47" spans="1:16" x14ac:dyDescent="0.25">
      <c r="L47" s="14">
        <f>SUBTOTAL(9,L42:L46)</f>
        <v>7904</v>
      </c>
      <c r="M47" s="14">
        <f>M42</f>
        <v>11</v>
      </c>
    </row>
    <row r="49" spans="11:13" x14ac:dyDescent="0.25">
      <c r="K49" s="11" t="s">
        <v>1014</v>
      </c>
      <c r="L49" s="11" t="s">
        <v>146</v>
      </c>
      <c r="M49" s="11" t="s">
        <v>145</v>
      </c>
    </row>
    <row r="50" spans="11:13" x14ac:dyDescent="0.25">
      <c r="K50" t="s">
        <v>150</v>
      </c>
      <c r="L50">
        <f>SUMIFS(G$3:G$29,J$3:J$29,K$49)</f>
        <v>2410</v>
      </c>
      <c r="M50">
        <f>SUMIFS(Q$3:Q$29,J$3:J$29,K$49)-INT(COUNTIFS(J$3:J$29,K$49,M$3:M$29,"*gộp*")/2)</f>
        <v>5</v>
      </c>
    </row>
    <row r="51" spans="11:13" x14ac:dyDescent="0.25">
      <c r="K51" t="s">
        <v>153</v>
      </c>
      <c r="L51">
        <f>SUM(H32:H33)</f>
        <v>-109</v>
      </c>
      <c r="M51">
        <f>SUMIFS(Q$3:Q$29,J$3:J$29,K$49)-INT(COUNTIFS(J$3:J$29,K$49,M$3:M$29,"*gộp*")/2)</f>
        <v>5</v>
      </c>
    </row>
    <row r="52" spans="11:13" x14ac:dyDescent="0.25">
      <c r="K52" t="s">
        <v>155</v>
      </c>
    </row>
    <row r="53" spans="11:13" x14ac:dyDescent="0.25">
      <c r="K53" s="12" t="s">
        <v>157</v>
      </c>
    </row>
    <row r="54" spans="11:13" x14ac:dyDescent="0.25">
      <c r="K54" s="2" t="s">
        <v>160</v>
      </c>
    </row>
    <row r="55" spans="11:13" x14ac:dyDescent="0.25">
      <c r="L55" s="14">
        <f>SUBTOTAL(9,L50:L54)</f>
        <v>2301</v>
      </c>
      <c r="M55" s="14">
        <f>M50</f>
        <v>5</v>
      </c>
    </row>
  </sheetData>
  <autoFilter ref="A2:P29" xr:uid="{00000000-0009-0000-0000-00000A000000}">
    <sortState xmlns:xlrd2="http://schemas.microsoft.com/office/spreadsheetml/2017/richdata2" ref="A3:P29">
      <sortCondition ref="J2:J29"/>
    </sortState>
  </autoFilter>
  <mergeCells count="8">
    <mergeCell ref="C38:D38"/>
    <mergeCell ref="C39:D39"/>
    <mergeCell ref="C41:D41"/>
    <mergeCell ref="C33:D33"/>
    <mergeCell ref="C34:D34"/>
    <mergeCell ref="C35:D35"/>
    <mergeCell ref="C36:D36"/>
    <mergeCell ref="C37:D37"/>
  </mergeCells>
  <pageMargins left="0.75" right="0.75" top="0.75" bottom="0.5" header="0.5" footer="0.7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R61"/>
  <sheetViews>
    <sheetView topLeftCell="A16" zoomScale="85" zoomScaleNormal="85" workbookViewId="0">
      <selection activeCell="A3" sqref="A3 A3:XFD35"/>
    </sheetView>
  </sheetViews>
  <sheetFormatPr defaultRowHeight="15" x14ac:dyDescent="0.25"/>
  <cols>
    <col min="1" max="1" width="12.7109375" customWidth="1"/>
    <col min="2" max="2" width="17.7109375" customWidth="1"/>
    <col min="3" max="3" width="24" customWidth="1"/>
    <col min="4" max="4" width="9.85546875" customWidth="1"/>
    <col min="5" max="5" width="88.28515625" customWidth="1"/>
    <col min="6" max="6" width="10.855468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0.42578125" customWidth="1"/>
    <col min="13" max="13" width="13.85546875" customWidth="1"/>
    <col min="14" max="14" width="9.7109375" customWidth="1"/>
    <col min="15" max="15" width="10.42578125" customWidth="1"/>
    <col min="16" max="16" width="7" bestFit="1" customWidth="1"/>
  </cols>
  <sheetData>
    <row r="2" spans="1:18" x14ac:dyDescent="0.25">
      <c r="A2" s="15" t="s">
        <v>10</v>
      </c>
      <c r="B2" s="15" t="s">
        <v>11</v>
      </c>
      <c r="C2" s="15" t="s">
        <v>12</v>
      </c>
      <c r="D2" s="15" t="s">
        <v>13</v>
      </c>
      <c r="E2" s="15" t="s">
        <v>14</v>
      </c>
      <c r="F2" s="15" t="s">
        <v>15</v>
      </c>
      <c r="G2" s="15" t="s">
        <v>16</v>
      </c>
      <c r="H2" s="15" t="s">
        <v>17</v>
      </c>
      <c r="I2" s="15" t="s">
        <v>18</v>
      </c>
      <c r="J2" s="15" t="s">
        <v>19</v>
      </c>
      <c r="K2" s="15" t="s">
        <v>20</v>
      </c>
      <c r="L2" s="15" t="s">
        <v>21</v>
      </c>
      <c r="M2" s="15" t="s">
        <v>22</v>
      </c>
      <c r="N2" s="15" t="s">
        <v>23</v>
      </c>
      <c r="O2" s="15" t="s">
        <v>24</v>
      </c>
      <c r="P2" s="15" t="s">
        <v>25</v>
      </c>
      <c r="Q2" s="16"/>
    </row>
    <row r="3" spans="1:18" x14ac:dyDescent="0.25">
      <c r="A3" s="16"/>
      <c r="B3" s="16" t="s">
        <v>26</v>
      </c>
      <c r="C3" s="16" t="s">
        <v>1069</v>
      </c>
      <c r="D3" s="16" t="s">
        <v>1070</v>
      </c>
      <c r="E3" s="16" t="s">
        <v>1071</v>
      </c>
      <c r="F3" s="16" t="s">
        <v>168</v>
      </c>
      <c r="G3" s="17">
        <v>885</v>
      </c>
      <c r="H3" s="17">
        <v>35</v>
      </c>
      <c r="I3" s="17">
        <f t="shared" ref="I3:I35" si="0">G3-H3</f>
        <v>850</v>
      </c>
      <c r="J3" s="16" t="s">
        <v>1072</v>
      </c>
      <c r="K3" s="16" t="s">
        <v>32</v>
      </c>
      <c r="L3" s="16" t="s">
        <v>1073</v>
      </c>
      <c r="M3" s="16"/>
      <c r="N3" s="16"/>
      <c r="O3" s="16"/>
      <c r="P3" s="16"/>
      <c r="Q3" s="16">
        <v>1</v>
      </c>
    </row>
    <row r="4" spans="1:18" s="21" customFormat="1" x14ac:dyDescent="0.25">
      <c r="A4" s="19"/>
      <c r="B4" s="19" t="s">
        <v>26</v>
      </c>
      <c r="C4" s="19" t="s">
        <v>725</v>
      </c>
      <c r="D4" s="19" t="s">
        <v>1074</v>
      </c>
      <c r="E4" s="19" t="s">
        <v>727</v>
      </c>
      <c r="F4" s="20">
        <v>6</v>
      </c>
      <c r="G4" s="20">
        <v>0</v>
      </c>
      <c r="H4" s="20">
        <v>25</v>
      </c>
      <c r="I4" s="20">
        <f t="shared" si="0"/>
        <v>-25</v>
      </c>
      <c r="J4" s="19" t="s">
        <v>1072</v>
      </c>
      <c r="K4" s="19" t="s">
        <v>32</v>
      </c>
      <c r="L4" s="19" t="s">
        <v>1073</v>
      </c>
      <c r="M4" s="19" t="s">
        <v>68</v>
      </c>
      <c r="N4" s="19"/>
      <c r="O4" s="19"/>
      <c r="P4" s="19"/>
      <c r="Q4" s="19">
        <v>1</v>
      </c>
      <c r="R4" s="22">
        <f>H4</f>
        <v>25</v>
      </c>
    </row>
    <row r="5" spans="1:18" x14ac:dyDescent="0.25">
      <c r="A5" s="16"/>
      <c r="B5" s="16" t="s">
        <v>26</v>
      </c>
      <c r="C5" s="16" t="s">
        <v>1075</v>
      </c>
      <c r="D5" s="16" t="s">
        <v>1076</v>
      </c>
      <c r="E5" s="16" t="s">
        <v>1077</v>
      </c>
      <c r="F5" s="16" t="s">
        <v>30</v>
      </c>
      <c r="G5" s="17">
        <v>1375</v>
      </c>
      <c r="H5" s="17">
        <v>25</v>
      </c>
      <c r="I5" s="17">
        <f t="shared" si="0"/>
        <v>1350</v>
      </c>
      <c r="J5" s="16" t="s">
        <v>1072</v>
      </c>
      <c r="K5" s="16" t="s">
        <v>32</v>
      </c>
      <c r="L5" s="16" t="s">
        <v>1073</v>
      </c>
      <c r="M5" s="16"/>
      <c r="N5" s="16"/>
      <c r="O5" s="16"/>
      <c r="P5" s="16"/>
      <c r="Q5" s="16">
        <v>1</v>
      </c>
    </row>
    <row r="6" spans="1:18" x14ac:dyDescent="0.25">
      <c r="A6" s="16"/>
      <c r="B6" s="16" t="s">
        <v>26</v>
      </c>
      <c r="C6" s="16" t="s">
        <v>1078</v>
      </c>
      <c r="D6" s="16" t="s">
        <v>1079</v>
      </c>
      <c r="E6" s="16" t="s">
        <v>621</v>
      </c>
      <c r="F6" s="17">
        <v>6</v>
      </c>
      <c r="G6" s="17">
        <v>605</v>
      </c>
      <c r="H6" s="17">
        <v>25</v>
      </c>
      <c r="I6" s="17">
        <f t="shared" si="0"/>
        <v>580</v>
      </c>
      <c r="J6" s="16" t="s">
        <v>1072</v>
      </c>
      <c r="K6" s="16" t="s">
        <v>32</v>
      </c>
      <c r="L6" s="16" t="s">
        <v>1073</v>
      </c>
      <c r="M6" s="16"/>
      <c r="N6" s="16"/>
      <c r="O6" s="16"/>
      <c r="P6" s="16"/>
      <c r="Q6" s="16">
        <v>1</v>
      </c>
    </row>
    <row r="7" spans="1:18" x14ac:dyDescent="0.25">
      <c r="A7" s="16"/>
      <c r="B7" s="16" t="s">
        <v>26</v>
      </c>
      <c r="C7" s="16" t="s">
        <v>1080</v>
      </c>
      <c r="D7" s="16" t="s">
        <v>1081</v>
      </c>
      <c r="E7" s="16" t="s">
        <v>1082</v>
      </c>
      <c r="F7" s="16" t="s">
        <v>51</v>
      </c>
      <c r="G7" s="17">
        <v>610</v>
      </c>
      <c r="H7" s="17">
        <v>30</v>
      </c>
      <c r="I7" s="17">
        <f t="shared" si="0"/>
        <v>580</v>
      </c>
      <c r="J7" s="16" t="s">
        <v>1072</v>
      </c>
      <c r="K7" s="16" t="s">
        <v>32</v>
      </c>
      <c r="L7" s="16" t="s">
        <v>1073</v>
      </c>
      <c r="M7" s="16"/>
      <c r="N7" s="16"/>
      <c r="O7" s="16"/>
      <c r="P7" s="16"/>
      <c r="Q7" s="16">
        <v>1</v>
      </c>
    </row>
    <row r="8" spans="1:18" x14ac:dyDescent="0.25">
      <c r="A8" s="16"/>
      <c r="B8" s="16" t="s">
        <v>26</v>
      </c>
      <c r="C8" s="16" t="s">
        <v>1083</v>
      </c>
      <c r="D8" s="16" t="s">
        <v>1084</v>
      </c>
      <c r="E8" s="16" t="s">
        <v>1085</v>
      </c>
      <c r="F8" s="16" t="s">
        <v>51</v>
      </c>
      <c r="G8" s="17">
        <v>875</v>
      </c>
      <c r="H8" s="17">
        <v>25</v>
      </c>
      <c r="I8" s="17">
        <f t="shared" si="0"/>
        <v>850</v>
      </c>
      <c r="J8" s="16" t="s">
        <v>1072</v>
      </c>
      <c r="K8" s="16" t="s">
        <v>32</v>
      </c>
      <c r="L8" s="16" t="s">
        <v>1073</v>
      </c>
      <c r="M8" s="16"/>
      <c r="N8" s="16"/>
      <c r="O8" s="16"/>
      <c r="P8" s="16"/>
      <c r="Q8" s="16">
        <v>1</v>
      </c>
    </row>
    <row r="9" spans="1:18" x14ac:dyDescent="0.25">
      <c r="A9" s="16"/>
      <c r="B9" s="16" t="s">
        <v>26</v>
      </c>
      <c r="C9" s="16" t="s">
        <v>391</v>
      </c>
      <c r="D9" s="16" t="s">
        <v>1086</v>
      </c>
      <c r="E9" s="16" t="s">
        <v>393</v>
      </c>
      <c r="F9" s="16" t="s">
        <v>51</v>
      </c>
      <c r="G9" s="17">
        <v>0</v>
      </c>
      <c r="H9" s="17">
        <v>30</v>
      </c>
      <c r="I9" s="17">
        <f t="shared" si="0"/>
        <v>-30</v>
      </c>
      <c r="J9" s="16" t="s">
        <v>1072</v>
      </c>
      <c r="K9" s="16" t="s">
        <v>32</v>
      </c>
      <c r="L9" s="16" t="s">
        <v>1073</v>
      </c>
      <c r="M9" s="16"/>
      <c r="N9" s="16"/>
      <c r="O9" s="16"/>
      <c r="P9" s="16"/>
      <c r="Q9" s="16">
        <v>1</v>
      </c>
      <c r="R9" s="10">
        <f>H9</f>
        <v>30</v>
      </c>
    </row>
    <row r="10" spans="1:18" x14ac:dyDescent="0.25">
      <c r="A10" s="16" t="s">
        <v>141</v>
      </c>
      <c r="B10" s="16" t="s">
        <v>26</v>
      </c>
      <c r="C10" s="16" t="s">
        <v>1087</v>
      </c>
      <c r="D10" s="16"/>
      <c r="E10" s="16" t="s">
        <v>387</v>
      </c>
      <c r="F10" s="17">
        <v>6</v>
      </c>
      <c r="G10" s="17">
        <v>0</v>
      </c>
      <c r="H10" s="17">
        <v>30</v>
      </c>
      <c r="I10" s="17">
        <f t="shared" si="0"/>
        <v>-30</v>
      </c>
      <c r="J10" s="16" t="s">
        <v>1072</v>
      </c>
      <c r="K10" s="16" t="s">
        <v>32</v>
      </c>
      <c r="L10" s="16" t="s">
        <v>1073</v>
      </c>
      <c r="M10" s="16"/>
      <c r="N10" s="16"/>
      <c r="O10" s="16"/>
      <c r="P10" s="16"/>
      <c r="Q10" s="16">
        <v>1</v>
      </c>
      <c r="R10" s="10">
        <f>H10</f>
        <v>30</v>
      </c>
    </row>
    <row r="11" spans="1:18" x14ac:dyDescent="0.25">
      <c r="A11" s="16"/>
      <c r="B11" s="16" t="s">
        <v>26</v>
      </c>
      <c r="C11" s="16" t="s">
        <v>1088</v>
      </c>
      <c r="D11" s="16" t="s">
        <v>1089</v>
      </c>
      <c r="E11" s="16" t="s">
        <v>1090</v>
      </c>
      <c r="F11" s="16" t="s">
        <v>82</v>
      </c>
      <c r="G11" s="17">
        <v>545</v>
      </c>
      <c r="H11" s="17">
        <v>25</v>
      </c>
      <c r="I11" s="17">
        <f t="shared" si="0"/>
        <v>520</v>
      </c>
      <c r="J11" s="16" t="s">
        <v>32</v>
      </c>
      <c r="K11" s="16" t="s">
        <v>32</v>
      </c>
      <c r="L11" s="16" t="s">
        <v>1073</v>
      </c>
      <c r="M11" s="16"/>
      <c r="N11" s="16"/>
      <c r="O11" s="16"/>
      <c r="P11" s="16"/>
      <c r="Q11" s="16">
        <v>1</v>
      </c>
    </row>
    <row r="12" spans="1:18" x14ac:dyDescent="0.25">
      <c r="A12" s="16"/>
      <c r="B12" s="16" t="s">
        <v>26</v>
      </c>
      <c r="C12" s="16" t="s">
        <v>1091</v>
      </c>
      <c r="D12" s="16" t="s">
        <v>1092</v>
      </c>
      <c r="E12" s="16" t="s">
        <v>1093</v>
      </c>
      <c r="F12" s="16" t="s">
        <v>89</v>
      </c>
      <c r="G12" s="17">
        <v>890</v>
      </c>
      <c r="H12" s="17">
        <v>30</v>
      </c>
      <c r="I12" s="17">
        <f t="shared" si="0"/>
        <v>860</v>
      </c>
      <c r="J12" s="16" t="s">
        <v>32</v>
      </c>
      <c r="K12" s="16" t="s">
        <v>32</v>
      </c>
      <c r="L12" s="16" t="s">
        <v>1073</v>
      </c>
      <c r="M12" s="16"/>
      <c r="N12" s="16"/>
      <c r="O12" s="16"/>
      <c r="P12" s="16"/>
      <c r="Q12" s="16">
        <v>1</v>
      </c>
    </row>
    <row r="13" spans="1:18" x14ac:dyDescent="0.25">
      <c r="A13" s="16"/>
      <c r="B13" s="16" t="s">
        <v>26</v>
      </c>
      <c r="C13" s="16" t="s">
        <v>532</v>
      </c>
      <c r="D13" s="16" t="s">
        <v>1094</v>
      </c>
      <c r="E13" s="16" t="s">
        <v>534</v>
      </c>
      <c r="F13" s="16" t="s">
        <v>75</v>
      </c>
      <c r="G13" s="17">
        <v>880</v>
      </c>
      <c r="H13" s="17">
        <v>20</v>
      </c>
      <c r="I13" s="17">
        <f t="shared" si="0"/>
        <v>860</v>
      </c>
      <c r="J13" s="16" t="s">
        <v>32</v>
      </c>
      <c r="K13" s="16" t="s">
        <v>32</v>
      </c>
      <c r="L13" s="16" t="s">
        <v>1073</v>
      </c>
      <c r="M13" s="16"/>
      <c r="N13" s="16"/>
      <c r="O13" s="16"/>
      <c r="P13" s="16"/>
      <c r="Q13" s="16">
        <v>1</v>
      </c>
    </row>
    <row r="14" spans="1:18" x14ac:dyDescent="0.25">
      <c r="A14" s="16"/>
      <c r="B14" s="16" t="s">
        <v>26</v>
      </c>
      <c r="C14" s="16" t="s">
        <v>1095</v>
      </c>
      <c r="D14" s="16" t="s">
        <v>1096</v>
      </c>
      <c r="E14" s="16" t="s">
        <v>1097</v>
      </c>
      <c r="F14" s="16" t="s">
        <v>89</v>
      </c>
      <c r="G14" s="17">
        <v>890</v>
      </c>
      <c r="H14" s="17">
        <v>30</v>
      </c>
      <c r="I14" s="17">
        <f t="shared" si="0"/>
        <v>860</v>
      </c>
      <c r="J14" s="16" t="s">
        <v>32</v>
      </c>
      <c r="K14" s="16" t="s">
        <v>32</v>
      </c>
      <c r="L14" s="16" t="s">
        <v>1073</v>
      </c>
      <c r="M14" s="16"/>
      <c r="N14" s="16"/>
      <c r="O14" s="16"/>
      <c r="P14" s="16"/>
      <c r="Q14" s="16">
        <v>1</v>
      </c>
    </row>
    <row r="15" spans="1:18" x14ac:dyDescent="0.25">
      <c r="A15" s="16"/>
      <c r="B15" s="16" t="s">
        <v>26</v>
      </c>
      <c r="C15" s="16" t="s">
        <v>1098</v>
      </c>
      <c r="D15" s="16" t="s">
        <v>1099</v>
      </c>
      <c r="E15" s="16" t="s">
        <v>1100</v>
      </c>
      <c r="F15" s="17">
        <v>12</v>
      </c>
      <c r="G15" s="17">
        <v>0</v>
      </c>
      <c r="H15" s="17">
        <v>30</v>
      </c>
      <c r="I15" s="17">
        <f t="shared" si="0"/>
        <v>-30</v>
      </c>
      <c r="J15" s="16" t="s">
        <v>32</v>
      </c>
      <c r="K15" s="16" t="s">
        <v>32</v>
      </c>
      <c r="L15" s="16" t="s">
        <v>1073</v>
      </c>
      <c r="M15" s="16"/>
      <c r="N15" s="16"/>
      <c r="O15" s="16"/>
      <c r="P15" s="16"/>
      <c r="Q15" s="16">
        <v>1</v>
      </c>
      <c r="R15" s="10">
        <f>H15</f>
        <v>30</v>
      </c>
    </row>
    <row r="16" spans="1:18" x14ac:dyDescent="0.25">
      <c r="A16" s="16"/>
      <c r="B16" s="16" t="s">
        <v>26</v>
      </c>
      <c r="C16" s="16" t="s">
        <v>1101</v>
      </c>
      <c r="D16" s="16" t="s">
        <v>1102</v>
      </c>
      <c r="E16" s="16" t="s">
        <v>1103</v>
      </c>
      <c r="F16" s="16" t="s">
        <v>93</v>
      </c>
      <c r="G16" s="17">
        <v>1380</v>
      </c>
      <c r="H16" s="17">
        <v>25</v>
      </c>
      <c r="I16" s="17">
        <f t="shared" si="0"/>
        <v>1355</v>
      </c>
      <c r="J16" s="16" t="s">
        <v>32</v>
      </c>
      <c r="K16" s="16" t="s">
        <v>32</v>
      </c>
      <c r="L16" s="16" t="s">
        <v>1073</v>
      </c>
      <c r="M16" s="18" t="s">
        <v>55</v>
      </c>
      <c r="N16" s="16"/>
      <c r="O16" s="16"/>
      <c r="P16" s="16"/>
      <c r="Q16" s="16">
        <v>1</v>
      </c>
      <c r="R16" s="10">
        <f>H16</f>
        <v>25</v>
      </c>
    </row>
    <row r="17" spans="1:18" x14ac:dyDescent="0.25">
      <c r="A17" s="16"/>
      <c r="B17" s="16" t="s">
        <v>26</v>
      </c>
      <c r="C17" s="16" t="s">
        <v>1104</v>
      </c>
      <c r="D17" s="16" t="s">
        <v>1105</v>
      </c>
      <c r="E17" s="16" t="s">
        <v>1106</v>
      </c>
      <c r="F17" s="16" t="s">
        <v>93</v>
      </c>
      <c r="G17" s="17">
        <v>915</v>
      </c>
      <c r="H17" s="17">
        <v>25</v>
      </c>
      <c r="I17" s="17">
        <f t="shared" si="0"/>
        <v>890</v>
      </c>
      <c r="J17" s="16" t="s">
        <v>32</v>
      </c>
      <c r="K17" s="16" t="s">
        <v>32</v>
      </c>
      <c r="L17" s="16" t="s">
        <v>1073</v>
      </c>
      <c r="M17" s="16"/>
      <c r="N17" s="16"/>
      <c r="O17" s="16"/>
      <c r="P17" s="16"/>
      <c r="Q17" s="16">
        <v>1</v>
      </c>
    </row>
    <row r="18" spans="1:18" x14ac:dyDescent="0.25">
      <c r="A18" s="16"/>
      <c r="B18" s="16" t="s">
        <v>26</v>
      </c>
      <c r="C18" s="16" t="s">
        <v>1107</v>
      </c>
      <c r="D18" s="16" t="s">
        <v>1108</v>
      </c>
      <c r="E18" s="16" t="s">
        <v>1109</v>
      </c>
      <c r="F18" s="16" t="s">
        <v>82</v>
      </c>
      <c r="G18" s="17">
        <v>1375</v>
      </c>
      <c r="H18" s="17">
        <v>25</v>
      </c>
      <c r="I18" s="17">
        <f t="shared" si="0"/>
        <v>1350</v>
      </c>
      <c r="J18" s="16" t="s">
        <v>32</v>
      </c>
      <c r="K18" s="16" t="s">
        <v>32</v>
      </c>
      <c r="L18" s="16" t="s">
        <v>1073</v>
      </c>
      <c r="M18" s="16"/>
      <c r="N18" s="16"/>
      <c r="O18" s="16"/>
      <c r="P18" s="16"/>
      <c r="Q18" s="16">
        <v>1</v>
      </c>
    </row>
    <row r="19" spans="1:18" x14ac:dyDescent="0.25">
      <c r="A19" s="16"/>
      <c r="B19" s="16" t="s">
        <v>26</v>
      </c>
      <c r="C19" s="16" t="s">
        <v>1110</v>
      </c>
      <c r="D19" s="16" t="s">
        <v>1111</v>
      </c>
      <c r="E19" s="16" t="s">
        <v>1112</v>
      </c>
      <c r="F19" s="16" t="s">
        <v>89</v>
      </c>
      <c r="G19" s="17">
        <v>880</v>
      </c>
      <c r="H19" s="17">
        <v>30</v>
      </c>
      <c r="I19" s="17">
        <f t="shared" si="0"/>
        <v>850</v>
      </c>
      <c r="J19" s="16" t="s">
        <v>32</v>
      </c>
      <c r="K19" s="16" t="s">
        <v>32</v>
      </c>
      <c r="L19" s="16" t="s">
        <v>1073</v>
      </c>
      <c r="M19" s="16"/>
      <c r="N19" s="16"/>
      <c r="O19" s="16"/>
      <c r="P19" s="16"/>
      <c r="Q19" s="16">
        <v>1</v>
      </c>
    </row>
    <row r="20" spans="1:18" x14ac:dyDescent="0.25">
      <c r="A20" s="16" t="s">
        <v>141</v>
      </c>
      <c r="B20" s="16" t="s">
        <v>26</v>
      </c>
      <c r="C20" s="16" t="s">
        <v>945</v>
      </c>
      <c r="D20" s="16"/>
      <c r="E20" s="16" t="s">
        <v>1113</v>
      </c>
      <c r="F20" s="16" t="s">
        <v>93</v>
      </c>
      <c r="G20" s="17">
        <v>0</v>
      </c>
      <c r="H20" s="17">
        <v>30</v>
      </c>
      <c r="I20" s="17">
        <f t="shared" si="0"/>
        <v>-30</v>
      </c>
      <c r="J20" s="16" t="s">
        <v>32</v>
      </c>
      <c r="K20" s="16" t="s">
        <v>32</v>
      </c>
      <c r="L20" s="16" t="s">
        <v>1073</v>
      </c>
      <c r="M20" s="16"/>
      <c r="N20" s="16"/>
      <c r="O20" s="16"/>
      <c r="P20" s="16"/>
      <c r="Q20" s="16">
        <v>1</v>
      </c>
      <c r="R20" s="10">
        <f>H20</f>
        <v>30</v>
      </c>
    </row>
    <row r="21" spans="1:18" x14ac:dyDescent="0.25">
      <c r="A21" s="16" t="s">
        <v>141</v>
      </c>
      <c r="B21" s="16" t="s">
        <v>26</v>
      </c>
      <c r="C21" s="16" t="s">
        <v>1114</v>
      </c>
      <c r="D21" s="16"/>
      <c r="E21" s="16" t="s">
        <v>317</v>
      </c>
      <c r="F21" s="17">
        <v>12</v>
      </c>
      <c r="G21" s="17">
        <v>0</v>
      </c>
      <c r="H21" s="17">
        <v>35</v>
      </c>
      <c r="I21" s="17">
        <f t="shared" si="0"/>
        <v>-35</v>
      </c>
      <c r="J21" s="16" t="s">
        <v>32</v>
      </c>
      <c r="K21" s="16" t="s">
        <v>32</v>
      </c>
      <c r="L21" s="16" t="s">
        <v>1073</v>
      </c>
      <c r="M21" s="16"/>
      <c r="N21" s="16"/>
      <c r="O21" s="16"/>
      <c r="P21" s="16"/>
      <c r="Q21" s="16">
        <v>1</v>
      </c>
      <c r="R21" s="10">
        <f>H21</f>
        <v>35</v>
      </c>
    </row>
    <row r="22" spans="1:18" x14ac:dyDescent="0.25">
      <c r="A22" s="16" t="s">
        <v>141</v>
      </c>
      <c r="B22" s="16" t="s">
        <v>26</v>
      </c>
      <c r="C22" s="16" t="s">
        <v>204</v>
      </c>
      <c r="D22" s="16"/>
      <c r="E22" s="16" t="s">
        <v>205</v>
      </c>
      <c r="F22" s="16" t="s">
        <v>82</v>
      </c>
      <c r="G22" s="17">
        <v>6940</v>
      </c>
      <c r="H22" s="17">
        <v>50</v>
      </c>
      <c r="I22" s="17">
        <f t="shared" si="0"/>
        <v>6890</v>
      </c>
      <c r="J22" s="16" t="s">
        <v>32</v>
      </c>
      <c r="K22" s="16" t="s">
        <v>32</v>
      </c>
      <c r="L22" s="16" t="s">
        <v>1073</v>
      </c>
      <c r="M22" s="16"/>
      <c r="N22" s="16"/>
      <c r="O22" s="16"/>
      <c r="P22" s="16"/>
      <c r="Q22" s="16">
        <v>1</v>
      </c>
    </row>
    <row r="23" spans="1:18" x14ac:dyDescent="0.25">
      <c r="A23" s="16"/>
      <c r="B23" s="16" t="s">
        <v>26</v>
      </c>
      <c r="C23" s="16" t="s">
        <v>1115</v>
      </c>
      <c r="D23" s="16" t="s">
        <v>1116</v>
      </c>
      <c r="E23" s="16" t="s">
        <v>1117</v>
      </c>
      <c r="F23" s="17">
        <v>1</v>
      </c>
      <c r="G23" s="17">
        <v>915</v>
      </c>
      <c r="H23" s="17">
        <v>25</v>
      </c>
      <c r="I23" s="17">
        <f t="shared" si="0"/>
        <v>890</v>
      </c>
      <c r="J23" s="16" t="s">
        <v>103</v>
      </c>
      <c r="K23" s="16" t="s">
        <v>32</v>
      </c>
      <c r="L23" s="16" t="s">
        <v>1073</v>
      </c>
      <c r="M23" s="16"/>
      <c r="N23" s="16"/>
      <c r="O23" s="16"/>
      <c r="P23" s="16"/>
      <c r="Q23" s="16">
        <v>1</v>
      </c>
    </row>
    <row r="24" spans="1:18" x14ac:dyDescent="0.25">
      <c r="A24" s="16"/>
      <c r="B24" s="16" t="s">
        <v>26</v>
      </c>
      <c r="C24" s="16" t="s">
        <v>678</v>
      </c>
      <c r="D24" s="16" t="s">
        <v>1118</v>
      </c>
      <c r="E24" s="16" t="s">
        <v>1119</v>
      </c>
      <c r="F24" s="17">
        <v>1</v>
      </c>
      <c r="G24" s="17">
        <v>995</v>
      </c>
      <c r="H24" s="17">
        <v>25</v>
      </c>
      <c r="I24" s="17">
        <f t="shared" si="0"/>
        <v>970</v>
      </c>
      <c r="J24" s="16" t="s">
        <v>103</v>
      </c>
      <c r="K24" s="16" t="s">
        <v>32</v>
      </c>
      <c r="L24" s="16" t="s">
        <v>1073</v>
      </c>
      <c r="M24" s="16"/>
      <c r="N24" s="16"/>
      <c r="O24" s="16"/>
      <c r="P24" s="16"/>
      <c r="Q24" s="16">
        <v>1</v>
      </c>
    </row>
    <row r="25" spans="1:18" x14ac:dyDescent="0.25">
      <c r="A25" s="16"/>
      <c r="B25" s="16" t="s">
        <v>26</v>
      </c>
      <c r="C25" s="16" t="s">
        <v>1120</v>
      </c>
      <c r="D25" s="16" t="s">
        <v>1121</v>
      </c>
      <c r="E25" s="16" t="s">
        <v>1122</v>
      </c>
      <c r="F25" s="17">
        <v>10</v>
      </c>
      <c r="G25" s="17">
        <v>2050</v>
      </c>
      <c r="H25" s="17">
        <v>30</v>
      </c>
      <c r="I25" s="17">
        <f t="shared" si="0"/>
        <v>2020</v>
      </c>
      <c r="J25" s="16" t="s">
        <v>103</v>
      </c>
      <c r="K25" s="16" t="s">
        <v>32</v>
      </c>
      <c r="L25" s="16" t="s">
        <v>1073</v>
      </c>
      <c r="M25" s="18" t="s">
        <v>55</v>
      </c>
      <c r="N25" s="16"/>
      <c r="O25" s="16"/>
      <c r="P25" s="16"/>
      <c r="Q25" s="16">
        <v>1</v>
      </c>
    </row>
    <row r="26" spans="1:18" x14ac:dyDescent="0.25">
      <c r="A26" s="16"/>
      <c r="B26" s="16" t="s">
        <v>26</v>
      </c>
      <c r="C26" s="16" t="s">
        <v>1123</v>
      </c>
      <c r="D26" s="16" t="s">
        <v>1124</v>
      </c>
      <c r="E26" s="16" t="s">
        <v>1125</v>
      </c>
      <c r="F26" s="17">
        <v>5</v>
      </c>
      <c r="G26" s="17">
        <v>0</v>
      </c>
      <c r="H26" s="17">
        <v>25</v>
      </c>
      <c r="I26" s="17">
        <f t="shared" si="0"/>
        <v>-25</v>
      </c>
      <c r="J26" s="16" t="s">
        <v>103</v>
      </c>
      <c r="K26" s="16" t="s">
        <v>32</v>
      </c>
      <c r="L26" s="16" t="s">
        <v>1073</v>
      </c>
      <c r="M26" s="16"/>
      <c r="N26" s="16"/>
      <c r="O26" s="16"/>
      <c r="P26" s="16"/>
      <c r="Q26" s="16">
        <v>1</v>
      </c>
      <c r="R26" s="10">
        <f>H26</f>
        <v>25</v>
      </c>
    </row>
    <row r="27" spans="1:18" x14ac:dyDescent="0.25">
      <c r="A27" s="16"/>
      <c r="B27" s="16" t="s">
        <v>26</v>
      </c>
      <c r="C27" s="16" t="s">
        <v>1126</v>
      </c>
      <c r="D27" s="16" t="s">
        <v>1127</v>
      </c>
      <c r="E27" s="16" t="s">
        <v>1128</v>
      </c>
      <c r="F27" s="16" t="s">
        <v>110</v>
      </c>
      <c r="G27" s="17">
        <v>710</v>
      </c>
      <c r="H27" s="17">
        <v>20</v>
      </c>
      <c r="I27" s="17">
        <f t="shared" si="0"/>
        <v>690</v>
      </c>
      <c r="J27" s="16" t="s">
        <v>103</v>
      </c>
      <c r="K27" s="16" t="s">
        <v>32</v>
      </c>
      <c r="L27" s="16" t="s">
        <v>1073</v>
      </c>
      <c r="M27" s="16"/>
      <c r="N27" s="16"/>
      <c r="O27" s="16"/>
      <c r="P27" s="16"/>
      <c r="Q27" s="16">
        <v>1</v>
      </c>
    </row>
    <row r="28" spans="1:18" x14ac:dyDescent="0.25">
      <c r="A28" s="16"/>
      <c r="B28" s="16" t="s">
        <v>26</v>
      </c>
      <c r="C28" s="16" t="s">
        <v>1129</v>
      </c>
      <c r="D28" s="16" t="s">
        <v>1130</v>
      </c>
      <c r="E28" s="16" t="s">
        <v>1131</v>
      </c>
      <c r="F28" s="16" t="s">
        <v>110</v>
      </c>
      <c r="G28" s="17">
        <v>20</v>
      </c>
      <c r="H28" s="17">
        <v>20</v>
      </c>
      <c r="I28" s="17">
        <f t="shared" si="0"/>
        <v>0</v>
      </c>
      <c r="J28" s="16" t="s">
        <v>103</v>
      </c>
      <c r="K28" s="16" t="s">
        <v>32</v>
      </c>
      <c r="L28" s="16" t="s">
        <v>1073</v>
      </c>
      <c r="M28" s="16"/>
      <c r="N28" s="16"/>
      <c r="O28" s="16"/>
      <c r="P28" s="16"/>
      <c r="Q28" s="16">
        <v>1</v>
      </c>
    </row>
    <row r="29" spans="1:18" x14ac:dyDescent="0.25">
      <c r="A29" s="16"/>
      <c r="B29" s="16" t="s">
        <v>26</v>
      </c>
      <c r="C29" s="16" t="s">
        <v>1132</v>
      </c>
      <c r="D29" s="16" t="s">
        <v>1133</v>
      </c>
      <c r="E29" s="16" t="s">
        <v>1134</v>
      </c>
      <c r="F29" s="17">
        <v>10</v>
      </c>
      <c r="G29" s="17">
        <v>0</v>
      </c>
      <c r="H29" s="17">
        <v>25</v>
      </c>
      <c r="I29" s="17">
        <f t="shared" si="0"/>
        <v>-25</v>
      </c>
      <c r="J29" s="16" t="s">
        <v>103</v>
      </c>
      <c r="K29" s="16" t="s">
        <v>32</v>
      </c>
      <c r="L29" s="16" t="s">
        <v>1073</v>
      </c>
      <c r="M29" s="16"/>
      <c r="N29" s="16"/>
      <c r="O29" s="16"/>
      <c r="P29" s="16"/>
      <c r="Q29" s="16">
        <v>1</v>
      </c>
      <c r="R29" s="10">
        <f>H29</f>
        <v>25</v>
      </c>
    </row>
    <row r="30" spans="1:18" x14ac:dyDescent="0.25">
      <c r="A30" s="16"/>
      <c r="B30" s="16" t="s">
        <v>26</v>
      </c>
      <c r="C30" s="16" t="s">
        <v>599</v>
      </c>
      <c r="D30" s="16" t="s">
        <v>1135</v>
      </c>
      <c r="E30" s="16" t="s">
        <v>1136</v>
      </c>
      <c r="F30" s="17">
        <v>3</v>
      </c>
      <c r="G30" s="17">
        <v>885</v>
      </c>
      <c r="H30" s="17">
        <v>25</v>
      </c>
      <c r="I30" s="17">
        <f t="shared" si="0"/>
        <v>860</v>
      </c>
      <c r="J30" s="16" t="s">
        <v>103</v>
      </c>
      <c r="K30" s="16" t="s">
        <v>32</v>
      </c>
      <c r="L30" s="16" t="s">
        <v>1073</v>
      </c>
      <c r="M30" s="16"/>
      <c r="N30" s="16"/>
      <c r="O30" s="16"/>
      <c r="P30" s="16"/>
      <c r="Q30" s="16">
        <v>1</v>
      </c>
    </row>
    <row r="31" spans="1:18" x14ac:dyDescent="0.25">
      <c r="A31" s="16"/>
      <c r="B31" s="16" t="s">
        <v>26</v>
      </c>
      <c r="C31" s="16" t="s">
        <v>1137</v>
      </c>
      <c r="D31" s="16" t="s">
        <v>1138</v>
      </c>
      <c r="E31" s="16" t="s">
        <v>1139</v>
      </c>
      <c r="F31" s="17">
        <v>7</v>
      </c>
      <c r="G31" s="17">
        <v>870</v>
      </c>
      <c r="H31" s="17">
        <v>30</v>
      </c>
      <c r="I31" s="17">
        <f t="shared" si="0"/>
        <v>840</v>
      </c>
      <c r="J31" s="16" t="s">
        <v>103</v>
      </c>
      <c r="K31" s="16" t="s">
        <v>32</v>
      </c>
      <c r="L31" s="16" t="s">
        <v>1073</v>
      </c>
      <c r="M31" s="16"/>
      <c r="N31" s="16"/>
      <c r="O31" s="16"/>
      <c r="P31" s="16"/>
      <c r="Q31" s="16">
        <v>1</v>
      </c>
    </row>
    <row r="32" spans="1:18" x14ac:dyDescent="0.25">
      <c r="A32" s="16"/>
      <c r="B32" s="16" t="s">
        <v>26</v>
      </c>
      <c r="C32" s="16" t="s">
        <v>1140</v>
      </c>
      <c r="D32" s="16" t="s">
        <v>1141</v>
      </c>
      <c r="E32" s="16" t="s">
        <v>1142</v>
      </c>
      <c r="F32" s="17">
        <v>7</v>
      </c>
      <c r="G32" s="17">
        <v>890</v>
      </c>
      <c r="H32" s="17">
        <v>30</v>
      </c>
      <c r="I32" s="17">
        <f t="shared" si="0"/>
        <v>860</v>
      </c>
      <c r="J32" s="16" t="s">
        <v>103</v>
      </c>
      <c r="K32" s="16" t="s">
        <v>32</v>
      </c>
      <c r="L32" s="16" t="s">
        <v>1073</v>
      </c>
      <c r="M32" s="16"/>
      <c r="N32" s="16"/>
      <c r="O32" s="16"/>
      <c r="P32" s="16"/>
      <c r="Q32" s="16">
        <v>1</v>
      </c>
    </row>
    <row r="33" spans="1:17" x14ac:dyDescent="0.25">
      <c r="A33" s="16"/>
      <c r="B33" s="16" t="s">
        <v>26</v>
      </c>
      <c r="C33" s="16" t="s">
        <v>1143</v>
      </c>
      <c r="D33" s="16" t="s">
        <v>1144</v>
      </c>
      <c r="E33" s="16" t="s">
        <v>1145</v>
      </c>
      <c r="F33" s="16" t="s">
        <v>110</v>
      </c>
      <c r="G33" s="17">
        <v>1710</v>
      </c>
      <c r="H33" s="17">
        <v>20</v>
      </c>
      <c r="I33" s="17">
        <f t="shared" si="0"/>
        <v>1690</v>
      </c>
      <c r="J33" s="16" t="s">
        <v>103</v>
      </c>
      <c r="K33" s="16" t="s">
        <v>32</v>
      </c>
      <c r="L33" s="16" t="s">
        <v>1073</v>
      </c>
      <c r="M33" s="18" t="s">
        <v>55</v>
      </c>
      <c r="N33" s="16"/>
      <c r="O33" s="16"/>
      <c r="P33" s="16"/>
      <c r="Q33" s="16">
        <v>1</v>
      </c>
    </row>
    <row r="34" spans="1:17" x14ac:dyDescent="0.25">
      <c r="A34" s="16"/>
      <c r="B34" s="16" t="s">
        <v>26</v>
      </c>
      <c r="C34" s="16" t="s">
        <v>1146</v>
      </c>
      <c r="D34" s="16" t="s">
        <v>1147</v>
      </c>
      <c r="E34" s="16" t="s">
        <v>1148</v>
      </c>
      <c r="F34" s="17">
        <v>1</v>
      </c>
      <c r="G34" s="17">
        <v>835</v>
      </c>
      <c r="H34" s="17">
        <v>25</v>
      </c>
      <c r="I34" s="17">
        <f t="shared" si="0"/>
        <v>810</v>
      </c>
      <c r="J34" s="16" t="s">
        <v>103</v>
      </c>
      <c r="K34" s="16" t="s">
        <v>32</v>
      </c>
      <c r="L34" s="16" t="s">
        <v>1073</v>
      </c>
      <c r="M34" s="16"/>
      <c r="N34" s="16"/>
      <c r="O34" s="16"/>
      <c r="P34" s="16"/>
      <c r="Q34" s="16">
        <v>1</v>
      </c>
    </row>
    <row r="35" spans="1:17" x14ac:dyDescent="0.25">
      <c r="A35" s="16"/>
      <c r="B35" s="16" t="s">
        <v>26</v>
      </c>
      <c r="C35" s="16" t="s">
        <v>1149</v>
      </c>
      <c r="D35" s="16" t="s">
        <v>1150</v>
      </c>
      <c r="E35" s="16" t="s">
        <v>1151</v>
      </c>
      <c r="F35" s="16" t="s">
        <v>40</v>
      </c>
      <c r="G35" s="17">
        <v>615</v>
      </c>
      <c r="H35" s="17">
        <v>35</v>
      </c>
      <c r="I35" s="17">
        <f t="shared" si="0"/>
        <v>580</v>
      </c>
      <c r="J35" s="16" t="s">
        <v>103</v>
      </c>
      <c r="K35" s="16" t="s">
        <v>32</v>
      </c>
      <c r="L35" s="16" t="s">
        <v>1073</v>
      </c>
      <c r="M35" s="16"/>
      <c r="N35" s="16"/>
      <c r="O35" s="16"/>
      <c r="P35" s="16"/>
      <c r="Q35" s="16">
        <v>1</v>
      </c>
    </row>
    <row r="37" spans="1:17" x14ac:dyDescent="0.25">
      <c r="D37" s="1">
        <f>COUNTA(D3:D35)</f>
        <v>29</v>
      </c>
      <c r="G37" s="1">
        <f t="shared" ref="G37:Q37" si="1">SUBTOTAL(9,G3:G35)</f>
        <v>29540</v>
      </c>
      <c r="H37" s="1">
        <f t="shared" si="1"/>
        <v>915</v>
      </c>
      <c r="I37" s="1">
        <f t="shared" si="1"/>
        <v>28625</v>
      </c>
      <c r="J37" s="1">
        <f t="shared" si="1"/>
        <v>0</v>
      </c>
      <c r="K37" s="1">
        <f t="shared" si="1"/>
        <v>0</v>
      </c>
      <c r="L37" s="1">
        <f t="shared" si="1"/>
        <v>0</v>
      </c>
      <c r="M37" s="1">
        <f t="shared" si="1"/>
        <v>0</v>
      </c>
      <c r="N37" s="1">
        <f t="shared" si="1"/>
        <v>0</v>
      </c>
      <c r="O37" s="1">
        <f t="shared" si="1"/>
        <v>0</v>
      </c>
      <c r="P37" s="1">
        <f t="shared" si="1"/>
        <v>0</v>
      </c>
      <c r="Q37" s="1">
        <f t="shared" si="1"/>
        <v>33</v>
      </c>
    </row>
    <row r="38" spans="1:17" x14ac:dyDescent="0.25">
      <c r="H38">
        <f>-4*17</f>
        <v>-68</v>
      </c>
    </row>
    <row r="39" spans="1:17" x14ac:dyDescent="0.25">
      <c r="A39" s="1" t="s">
        <v>26</v>
      </c>
      <c r="C39" s="34" t="s">
        <v>144</v>
      </c>
      <c r="D39" s="34"/>
      <c r="E39" s="4" t="s">
        <v>145</v>
      </c>
      <c r="H39">
        <f>-3*25</f>
        <v>-75</v>
      </c>
      <c r="K39" s="11" t="s">
        <v>32</v>
      </c>
      <c r="L39" s="11" t="s">
        <v>146</v>
      </c>
      <c r="M39" s="11" t="s">
        <v>145</v>
      </c>
      <c r="O39" s="4" t="s">
        <v>147</v>
      </c>
    </row>
    <row r="40" spans="1:17" x14ac:dyDescent="0.25">
      <c r="A40" t="s">
        <v>1073</v>
      </c>
      <c r="B40" s="3" t="s">
        <v>148</v>
      </c>
      <c r="C40" s="35">
        <f>SUMIFS(I$3:I$35,B$3:B$35,A$39,L$3:L$35,A$40)</f>
        <v>28625</v>
      </c>
      <c r="D40" s="35"/>
      <c r="E40" s="3">
        <f>SUMIFS(Q$3:Q$35,B$3:B$35,A$39,L$3:L$35,A$40)</f>
        <v>33</v>
      </c>
      <c r="F40" t="s">
        <v>149</v>
      </c>
      <c r="H40">
        <f>-1*30</f>
        <v>-30</v>
      </c>
      <c r="K40" t="s">
        <v>150</v>
      </c>
      <c r="L40">
        <f>SUMIFS(G$3:G$35,J$3:J$35,K$39)</f>
        <v>14695</v>
      </c>
      <c r="M40">
        <f>SUMIFS(Q$3:Q$35,J$3:J$35,K$39)-INT(COUNTIFS(J$3:J$35,K$39,M$3:M$35,"*gộp*")/2)</f>
        <v>12</v>
      </c>
      <c r="O40" t="s">
        <v>32</v>
      </c>
      <c r="P40">
        <f>L45</f>
        <v>14334</v>
      </c>
    </row>
    <row r="41" spans="1:17" x14ac:dyDescent="0.25">
      <c r="B41" s="2" t="s">
        <v>152</v>
      </c>
      <c r="C41" s="36">
        <v>0</v>
      </c>
      <c r="D41" s="36"/>
      <c r="K41" t="s">
        <v>153</v>
      </c>
      <c r="L41">
        <f>-SUMIFS(H$3:H$35,J$3:J$35,K$39)+M41*5</f>
        <v>-295</v>
      </c>
      <c r="M41">
        <f>SUMIFS(Q$3:Q$35,J$3:J$35,K$39)-INT(COUNTIFS(J$3:J$35,K$39,M$3:M$35,"*gộp*")/2)</f>
        <v>12</v>
      </c>
      <c r="O41" t="s">
        <v>103</v>
      </c>
      <c r="P41">
        <f>L53</f>
        <v>10225</v>
      </c>
    </row>
    <row r="42" spans="1:17" x14ac:dyDescent="0.25">
      <c r="B42" s="2" t="s">
        <v>154</v>
      </c>
      <c r="C42" s="36">
        <f>-SUMIFS(I$3:I$35,B$3:B$35,A$39,P$3:P$35,"xx",N$3:N$35,"x")</f>
        <v>0</v>
      </c>
      <c r="D42" s="36"/>
      <c r="E42" s="2">
        <f>SUMIFS(Q$3:Q$35,B$3:B$35,A$39,P$3:P$35,"xx",N$3:N$35,"x")</f>
        <v>0</v>
      </c>
      <c r="K42" t="s">
        <v>155</v>
      </c>
      <c r="L42">
        <f>-M42*2</f>
        <v>-66</v>
      </c>
      <c r="M42">
        <f>E43-(COUNTIFS(M$3:M$35,"*gộp*")/2)-COUNTIFS(M$3:M$35,"*đơn trả*")-COUNTIFS(M$3:M$35,"*hàng tỉnh*")</f>
        <v>33</v>
      </c>
      <c r="O42" t="s">
        <v>1152</v>
      </c>
      <c r="P42">
        <f>L61</f>
        <v>4177</v>
      </c>
    </row>
    <row r="43" spans="1:17" x14ac:dyDescent="0.25">
      <c r="B43" s="4" t="s">
        <v>156</v>
      </c>
      <c r="C43" s="34">
        <f>SUBTOTAL(9,C40:C42)</f>
        <v>28625</v>
      </c>
      <c r="D43" s="34"/>
      <c r="E43">
        <f>E40</f>
        <v>33</v>
      </c>
      <c r="K43" s="12" t="s">
        <v>157</v>
      </c>
      <c r="O43" t="s">
        <v>158</v>
      </c>
      <c r="P43">
        <f>-C47</f>
        <v>-28625</v>
      </c>
    </row>
    <row r="44" spans="1:17" x14ac:dyDescent="0.25">
      <c r="B44" s="2" t="s">
        <v>159</v>
      </c>
      <c r="C44" s="32"/>
      <c r="D44" s="32"/>
      <c r="K44" s="2" t="s">
        <v>160</v>
      </c>
      <c r="O44" s="4" t="s">
        <v>161</v>
      </c>
      <c r="P44" s="4">
        <f>SUBTOTAL(9,P40:P43)</f>
        <v>111</v>
      </c>
    </row>
    <row r="45" spans="1:17" x14ac:dyDescent="0.25">
      <c r="B45" s="13" t="s">
        <v>162</v>
      </c>
      <c r="C45" s="32"/>
      <c r="D45" s="32"/>
      <c r="L45" s="14">
        <f>SUBTOTAL(9,L40:L44)</f>
        <v>14334</v>
      </c>
      <c r="M45" s="14">
        <f>M40</f>
        <v>12</v>
      </c>
    </row>
    <row r="47" spans="1:17" x14ac:dyDescent="0.25">
      <c r="B47" s="1" t="s">
        <v>163</v>
      </c>
      <c r="C47" s="33">
        <f>C43+C44+C45</f>
        <v>28625</v>
      </c>
      <c r="D47" s="33"/>
      <c r="E47" s="1" t="s">
        <v>164</v>
      </c>
      <c r="K47" s="11" t="s">
        <v>103</v>
      </c>
      <c r="L47" s="11" t="s">
        <v>146</v>
      </c>
      <c r="M47" s="11" t="s">
        <v>145</v>
      </c>
    </row>
    <row r="48" spans="1:17" x14ac:dyDescent="0.25">
      <c r="K48" t="s">
        <v>150</v>
      </c>
      <c r="L48">
        <f>SUMIFS(G$3:G$35,J$3:J$35,K$47)</f>
        <v>10495</v>
      </c>
      <c r="M48">
        <f>SUMIFS(Q$3:Q$35,J$3:J$35,K$47)-INT(COUNTIFS(J$3:J$35,K$47,M$3:M$35,"*gộp*")/2)</f>
        <v>13</v>
      </c>
    </row>
    <row r="49" spans="11:13" x14ac:dyDescent="0.25">
      <c r="K49" t="s">
        <v>153</v>
      </c>
      <c r="L49">
        <f>-SUMIFS(H$3:H$35,J$3:J$35,K$47)+M49*5</f>
        <v>-270</v>
      </c>
      <c r="M49">
        <f>SUMIFS(Q$3:Q$35,J$3:J$35,K$47)-INT(COUNTIFS(J$3:J$35,K$47,M$3:M$35,"*gộp*")/2)</f>
        <v>13</v>
      </c>
    </row>
    <row r="50" spans="11:13" x14ac:dyDescent="0.25">
      <c r="K50" t="s">
        <v>155</v>
      </c>
    </row>
    <row r="51" spans="11:13" x14ac:dyDescent="0.25">
      <c r="K51" s="12" t="s">
        <v>157</v>
      </c>
    </row>
    <row r="52" spans="11:13" x14ac:dyDescent="0.25">
      <c r="K52" s="2" t="s">
        <v>160</v>
      </c>
    </row>
    <row r="53" spans="11:13" x14ac:dyDescent="0.25">
      <c r="L53" s="14">
        <f>SUBTOTAL(9,L48:L52)</f>
        <v>10225</v>
      </c>
      <c r="M53" s="14">
        <f>M48</f>
        <v>13</v>
      </c>
    </row>
    <row r="55" spans="11:13" x14ac:dyDescent="0.25">
      <c r="K55" s="11" t="s">
        <v>1072</v>
      </c>
      <c r="L55" s="11" t="s">
        <v>146</v>
      </c>
      <c r="M55" s="11" t="s">
        <v>145</v>
      </c>
    </row>
    <row r="56" spans="11:13" x14ac:dyDescent="0.25">
      <c r="K56" t="s">
        <v>150</v>
      </c>
      <c r="L56">
        <f>SUMIFS(G$3:G$35,J$3:J$35,K$55)</f>
        <v>4350</v>
      </c>
      <c r="M56">
        <f>SUMIFS(Q$3:Q$35,J$3:J$35,K$55)-INT(COUNTIFS(J$3:J$35,K$55,M$3:M$35,"*gộp*")/2)</f>
        <v>8</v>
      </c>
    </row>
    <row r="57" spans="11:13" x14ac:dyDescent="0.25">
      <c r="K57" t="s">
        <v>153</v>
      </c>
      <c r="L57">
        <f>SUM(H38:H40)</f>
        <v>-173</v>
      </c>
      <c r="M57">
        <f>SUMIFS(Q$3:Q$35,J$3:J$35,K$55)-INT(COUNTIFS(J$3:J$35,K$55,M$3:M$35,"*gộp*")/2)</f>
        <v>8</v>
      </c>
    </row>
    <row r="58" spans="11:13" x14ac:dyDescent="0.25">
      <c r="K58" t="s">
        <v>155</v>
      </c>
    </row>
    <row r="59" spans="11:13" x14ac:dyDescent="0.25">
      <c r="K59" s="12" t="s">
        <v>157</v>
      </c>
    </row>
    <row r="60" spans="11:13" x14ac:dyDescent="0.25">
      <c r="K60" s="2" t="s">
        <v>160</v>
      </c>
    </row>
    <row r="61" spans="11:13" x14ac:dyDescent="0.25">
      <c r="L61" s="14">
        <f>SUBTOTAL(9,L56:L60)</f>
        <v>4177</v>
      </c>
      <c r="M61" s="14">
        <f>M56</f>
        <v>8</v>
      </c>
    </row>
  </sheetData>
  <autoFilter ref="A2:P35" xr:uid="{00000000-0009-0000-0000-00000B000000}">
    <sortState xmlns:xlrd2="http://schemas.microsoft.com/office/spreadsheetml/2017/richdata2" ref="A3:P35">
      <sortCondition ref="J2:J35"/>
    </sortState>
  </autoFilter>
  <mergeCells count="8">
    <mergeCell ref="C44:D44"/>
    <mergeCell ref="C45:D45"/>
    <mergeCell ref="C47:D47"/>
    <mergeCell ref="C39:D39"/>
    <mergeCell ref="C40:D40"/>
    <mergeCell ref="C41:D41"/>
    <mergeCell ref="C42:D42"/>
    <mergeCell ref="C43:D43"/>
  </mergeCells>
  <pageMargins left="0.75" right="0.75" top="0.75" bottom="0.5" header="0.5" footer="0.7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R53"/>
  <sheetViews>
    <sheetView workbookViewId="0"/>
  </sheetViews>
  <sheetFormatPr defaultRowHeight="15" x14ac:dyDescent="0.25"/>
  <cols>
    <col min="1" max="1" width="12.7109375" customWidth="1"/>
    <col min="2" max="2" width="17.7109375" customWidth="1"/>
    <col min="3" max="3" width="43.7109375" customWidth="1"/>
    <col min="4" max="4" width="9.85546875" customWidth="1"/>
    <col min="5" max="5" width="66.7109375" customWidth="1"/>
    <col min="6" max="6" width="10.855468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0.42578125" customWidth="1"/>
    <col min="13" max="13" width="13.85546875" customWidth="1"/>
    <col min="14" max="14" width="9.7109375" customWidth="1"/>
    <col min="15" max="15" width="10.42578125" customWidth="1"/>
    <col min="16" max="16" width="7" bestFit="1" customWidth="1"/>
  </cols>
  <sheetData>
    <row r="2" spans="1:18" x14ac:dyDescent="0.25">
      <c r="A2" s="15" t="s">
        <v>10</v>
      </c>
      <c r="B2" s="15" t="s">
        <v>11</v>
      </c>
      <c r="C2" s="15" t="s">
        <v>12</v>
      </c>
      <c r="D2" s="15" t="s">
        <v>13</v>
      </c>
      <c r="E2" s="15" t="s">
        <v>14</v>
      </c>
      <c r="F2" s="15" t="s">
        <v>15</v>
      </c>
      <c r="G2" s="15" t="s">
        <v>16</v>
      </c>
      <c r="H2" s="15" t="s">
        <v>17</v>
      </c>
      <c r="I2" s="15" t="s">
        <v>18</v>
      </c>
      <c r="J2" s="15" t="s">
        <v>19</v>
      </c>
      <c r="K2" s="15" t="s">
        <v>20</v>
      </c>
      <c r="L2" s="15" t="s">
        <v>21</v>
      </c>
      <c r="M2" s="15" t="s">
        <v>22</v>
      </c>
      <c r="N2" s="15" t="s">
        <v>23</v>
      </c>
      <c r="O2" s="15" t="s">
        <v>24</v>
      </c>
      <c r="P2" s="15" t="s">
        <v>25</v>
      </c>
      <c r="Q2" s="16"/>
    </row>
    <row r="3" spans="1:18" x14ac:dyDescent="0.25">
      <c r="A3" s="16"/>
      <c r="B3" s="16" t="s">
        <v>26</v>
      </c>
      <c r="C3" s="16" t="s">
        <v>1153</v>
      </c>
      <c r="D3" s="16" t="s">
        <v>1154</v>
      </c>
      <c r="E3" s="16" t="s">
        <v>1155</v>
      </c>
      <c r="F3" s="17">
        <v>8</v>
      </c>
      <c r="G3" s="17">
        <v>0</v>
      </c>
      <c r="H3" s="17">
        <v>30</v>
      </c>
      <c r="I3" s="17">
        <f t="shared" ref="I3:I27" si="0">G3-H3</f>
        <v>-30</v>
      </c>
      <c r="J3" s="16" t="s">
        <v>1156</v>
      </c>
      <c r="K3" s="16" t="s">
        <v>32</v>
      </c>
      <c r="L3" s="16" t="s">
        <v>1157</v>
      </c>
      <c r="M3" s="16"/>
      <c r="N3" s="16"/>
      <c r="O3" s="16"/>
      <c r="P3" s="16"/>
      <c r="Q3" s="16">
        <v>1</v>
      </c>
      <c r="R3" s="10">
        <f>H3</f>
        <v>30</v>
      </c>
    </row>
    <row r="4" spans="1:18" s="21" customFormat="1" x14ac:dyDescent="0.25">
      <c r="A4" s="19"/>
      <c r="B4" s="19" t="s">
        <v>26</v>
      </c>
      <c r="C4" s="19" t="s">
        <v>1022</v>
      </c>
      <c r="D4" s="19" t="s">
        <v>1158</v>
      </c>
      <c r="E4" s="19" t="s">
        <v>1024</v>
      </c>
      <c r="F4" s="20">
        <v>9</v>
      </c>
      <c r="G4" s="20">
        <v>0</v>
      </c>
      <c r="H4" s="20">
        <v>30</v>
      </c>
      <c r="I4" s="20">
        <f t="shared" si="0"/>
        <v>-30</v>
      </c>
      <c r="J4" s="19" t="s">
        <v>1156</v>
      </c>
      <c r="K4" s="19" t="s">
        <v>32</v>
      </c>
      <c r="L4" s="19" t="s">
        <v>1157</v>
      </c>
      <c r="M4" s="19" t="s">
        <v>68</v>
      </c>
      <c r="N4" s="19"/>
      <c r="O4" s="19"/>
      <c r="P4" s="19"/>
      <c r="Q4" s="19">
        <v>1</v>
      </c>
      <c r="R4" s="22">
        <f>H4</f>
        <v>30</v>
      </c>
    </row>
    <row r="5" spans="1:18" x14ac:dyDescent="0.25">
      <c r="A5" s="16"/>
      <c r="B5" s="16" t="s">
        <v>26</v>
      </c>
      <c r="C5" s="16" t="s">
        <v>1159</v>
      </c>
      <c r="D5" s="16" t="s">
        <v>1160</v>
      </c>
      <c r="E5" s="16" t="s">
        <v>1161</v>
      </c>
      <c r="F5" s="16" t="s">
        <v>30</v>
      </c>
      <c r="G5" s="17">
        <v>545</v>
      </c>
      <c r="H5" s="17">
        <v>25</v>
      </c>
      <c r="I5" s="17">
        <f t="shared" si="0"/>
        <v>520</v>
      </c>
      <c r="J5" s="16" t="s">
        <v>1156</v>
      </c>
      <c r="K5" s="16" t="s">
        <v>32</v>
      </c>
      <c r="L5" s="16" t="s">
        <v>1157</v>
      </c>
      <c r="M5" s="16"/>
      <c r="N5" s="16"/>
      <c r="O5" s="16"/>
      <c r="P5" s="16"/>
      <c r="Q5" s="16">
        <v>1</v>
      </c>
    </row>
    <row r="6" spans="1:18" x14ac:dyDescent="0.25">
      <c r="A6" s="16"/>
      <c r="B6" s="16" t="s">
        <v>26</v>
      </c>
      <c r="C6" s="16" t="s">
        <v>1162</v>
      </c>
      <c r="D6" s="16" t="s">
        <v>1163</v>
      </c>
      <c r="E6" s="16" t="s">
        <v>1164</v>
      </c>
      <c r="F6" s="17">
        <v>6</v>
      </c>
      <c r="G6" s="17">
        <v>0</v>
      </c>
      <c r="H6" s="17">
        <v>25</v>
      </c>
      <c r="I6" s="17">
        <f t="shared" si="0"/>
        <v>-25</v>
      </c>
      <c r="J6" s="16" t="s">
        <v>1156</v>
      </c>
      <c r="K6" s="16" t="s">
        <v>32</v>
      </c>
      <c r="L6" s="16" t="s">
        <v>1157</v>
      </c>
      <c r="M6" s="16"/>
      <c r="N6" s="16"/>
      <c r="O6" s="16"/>
      <c r="P6" s="16"/>
      <c r="Q6" s="16">
        <v>1</v>
      </c>
      <c r="R6" s="10">
        <f>H6</f>
        <v>25</v>
      </c>
    </row>
    <row r="7" spans="1:18" x14ac:dyDescent="0.25">
      <c r="A7" s="16"/>
      <c r="B7" s="16" t="s">
        <v>26</v>
      </c>
      <c r="C7" s="16" t="s">
        <v>1165</v>
      </c>
      <c r="D7" s="16" t="s">
        <v>1166</v>
      </c>
      <c r="E7" s="16" t="s">
        <v>1167</v>
      </c>
      <c r="F7" s="16" t="s">
        <v>40</v>
      </c>
      <c r="G7" s="17">
        <v>625</v>
      </c>
      <c r="H7" s="17">
        <v>35</v>
      </c>
      <c r="I7" s="17">
        <f t="shared" si="0"/>
        <v>590</v>
      </c>
      <c r="J7" s="16" t="s">
        <v>1156</v>
      </c>
      <c r="K7" s="16" t="s">
        <v>32</v>
      </c>
      <c r="L7" s="16" t="s">
        <v>1157</v>
      </c>
      <c r="M7" s="16"/>
      <c r="N7" s="16"/>
      <c r="O7" s="16"/>
      <c r="P7" s="16"/>
      <c r="Q7" s="16">
        <v>1</v>
      </c>
    </row>
    <row r="8" spans="1:18" x14ac:dyDescent="0.25">
      <c r="A8" s="16"/>
      <c r="B8" s="16" t="s">
        <v>26</v>
      </c>
      <c r="C8" s="16" t="s">
        <v>1168</v>
      </c>
      <c r="D8" s="16" t="s">
        <v>1169</v>
      </c>
      <c r="E8" s="16" t="s">
        <v>1170</v>
      </c>
      <c r="F8" s="16" t="s">
        <v>30</v>
      </c>
      <c r="G8" s="17">
        <v>0</v>
      </c>
      <c r="H8" s="17">
        <v>25</v>
      </c>
      <c r="I8" s="17">
        <f t="shared" si="0"/>
        <v>-25</v>
      </c>
      <c r="J8" s="16" t="s">
        <v>1156</v>
      </c>
      <c r="K8" s="16" t="s">
        <v>32</v>
      </c>
      <c r="L8" s="16" t="s">
        <v>1157</v>
      </c>
      <c r="M8" s="16"/>
      <c r="N8" s="16"/>
      <c r="O8" s="16"/>
      <c r="P8" s="16"/>
      <c r="Q8" s="16">
        <v>1</v>
      </c>
      <c r="R8" s="10">
        <f>H8</f>
        <v>25</v>
      </c>
    </row>
    <row r="9" spans="1:18" x14ac:dyDescent="0.25">
      <c r="A9" s="16"/>
      <c r="B9" s="16" t="s">
        <v>26</v>
      </c>
      <c r="C9" s="16" t="s">
        <v>1171</v>
      </c>
      <c r="D9" s="16" t="s">
        <v>1172</v>
      </c>
      <c r="E9" s="16" t="s">
        <v>1173</v>
      </c>
      <c r="F9" s="17">
        <v>9</v>
      </c>
      <c r="G9" s="17">
        <v>620</v>
      </c>
      <c r="H9" s="17">
        <v>30</v>
      </c>
      <c r="I9" s="17">
        <f t="shared" si="0"/>
        <v>590</v>
      </c>
      <c r="J9" s="16" t="s">
        <v>1156</v>
      </c>
      <c r="K9" s="16" t="s">
        <v>32</v>
      </c>
      <c r="L9" s="16" t="s">
        <v>1157</v>
      </c>
      <c r="M9" s="16"/>
      <c r="N9" s="16"/>
      <c r="O9" s="16"/>
      <c r="P9" s="16"/>
      <c r="Q9" s="16">
        <v>1</v>
      </c>
    </row>
    <row r="10" spans="1:18" x14ac:dyDescent="0.25">
      <c r="A10" s="16"/>
      <c r="B10" s="16" t="s">
        <v>26</v>
      </c>
      <c r="C10" s="16" t="s">
        <v>1174</v>
      </c>
      <c r="D10" s="16" t="s">
        <v>1175</v>
      </c>
      <c r="E10" s="16" t="s">
        <v>1176</v>
      </c>
      <c r="F10" s="16" t="s">
        <v>89</v>
      </c>
      <c r="G10" s="17">
        <v>920</v>
      </c>
      <c r="H10" s="17">
        <v>30</v>
      </c>
      <c r="I10" s="17">
        <f t="shared" si="0"/>
        <v>890</v>
      </c>
      <c r="J10" s="16" t="s">
        <v>1156</v>
      </c>
      <c r="K10" s="16" t="s">
        <v>32</v>
      </c>
      <c r="L10" s="16" t="s">
        <v>1157</v>
      </c>
      <c r="M10" s="16"/>
      <c r="N10" s="16"/>
      <c r="O10" s="16"/>
      <c r="P10" s="16"/>
      <c r="Q10" s="16">
        <v>1</v>
      </c>
    </row>
    <row r="11" spans="1:18" x14ac:dyDescent="0.25">
      <c r="A11" s="16"/>
      <c r="B11" s="16" t="s">
        <v>26</v>
      </c>
      <c r="C11" s="16" t="s">
        <v>718</v>
      </c>
      <c r="D11" s="16" t="s">
        <v>1177</v>
      </c>
      <c r="E11" s="16" t="s">
        <v>1178</v>
      </c>
      <c r="F11" s="16" t="s">
        <v>51</v>
      </c>
      <c r="G11" s="17">
        <v>1380</v>
      </c>
      <c r="H11" s="17">
        <v>30</v>
      </c>
      <c r="I11" s="17">
        <f t="shared" si="0"/>
        <v>1350</v>
      </c>
      <c r="J11" s="16" t="s">
        <v>1156</v>
      </c>
      <c r="K11" s="16" t="s">
        <v>32</v>
      </c>
      <c r="L11" s="16" t="s">
        <v>1157</v>
      </c>
      <c r="M11" s="16"/>
      <c r="N11" s="16"/>
      <c r="O11" s="16"/>
      <c r="P11" s="16"/>
      <c r="Q11" s="16">
        <v>1</v>
      </c>
    </row>
    <row r="12" spans="1:18" x14ac:dyDescent="0.25">
      <c r="A12" s="16" t="s">
        <v>141</v>
      </c>
      <c r="B12" s="16" t="s">
        <v>26</v>
      </c>
      <c r="C12" s="16" t="s">
        <v>398</v>
      </c>
      <c r="D12" s="16"/>
      <c r="E12" s="16" t="s">
        <v>399</v>
      </c>
      <c r="F12" s="17">
        <v>6</v>
      </c>
      <c r="G12" s="17">
        <v>30</v>
      </c>
      <c r="H12" s="17">
        <v>30</v>
      </c>
      <c r="I12" s="17">
        <f t="shared" si="0"/>
        <v>0</v>
      </c>
      <c r="J12" s="16" t="s">
        <v>1156</v>
      </c>
      <c r="K12" s="16" t="s">
        <v>32</v>
      </c>
      <c r="L12" s="16" t="s">
        <v>1157</v>
      </c>
      <c r="M12" s="16"/>
      <c r="N12" s="16"/>
      <c r="O12" s="16"/>
      <c r="P12" s="16"/>
      <c r="Q12" s="16">
        <v>1</v>
      </c>
    </row>
    <row r="13" spans="1:18" x14ac:dyDescent="0.25">
      <c r="A13" s="16"/>
      <c r="B13" s="16" t="s">
        <v>26</v>
      </c>
      <c r="C13" s="16" t="s">
        <v>1179</v>
      </c>
      <c r="D13" s="16" t="s">
        <v>1180</v>
      </c>
      <c r="E13" s="16" t="s">
        <v>1181</v>
      </c>
      <c r="F13" s="16" t="s">
        <v>82</v>
      </c>
      <c r="G13" s="17">
        <v>0</v>
      </c>
      <c r="H13" s="17">
        <v>25</v>
      </c>
      <c r="I13" s="17">
        <f t="shared" si="0"/>
        <v>-25</v>
      </c>
      <c r="J13" s="16" t="s">
        <v>32</v>
      </c>
      <c r="K13" s="16" t="s">
        <v>32</v>
      </c>
      <c r="L13" s="16" t="s">
        <v>1157</v>
      </c>
      <c r="M13" s="16"/>
      <c r="N13" s="16"/>
      <c r="O13" s="16"/>
      <c r="P13" s="16"/>
      <c r="Q13" s="16">
        <v>1</v>
      </c>
      <c r="R13" s="10">
        <f>H13</f>
        <v>25</v>
      </c>
    </row>
    <row r="14" spans="1:18" x14ac:dyDescent="0.25">
      <c r="A14" s="16"/>
      <c r="B14" s="16" t="s">
        <v>26</v>
      </c>
      <c r="C14" s="16" t="s">
        <v>1182</v>
      </c>
      <c r="D14" s="16" t="s">
        <v>1183</v>
      </c>
      <c r="E14" s="16" t="s">
        <v>1184</v>
      </c>
      <c r="F14" s="16" t="s">
        <v>82</v>
      </c>
      <c r="G14" s="17">
        <v>0</v>
      </c>
      <c r="H14" s="17">
        <v>25</v>
      </c>
      <c r="I14" s="17">
        <f t="shared" si="0"/>
        <v>-25</v>
      </c>
      <c r="J14" s="16" t="s">
        <v>32</v>
      </c>
      <c r="K14" s="16" t="s">
        <v>32</v>
      </c>
      <c r="L14" s="16" t="s">
        <v>1157</v>
      </c>
      <c r="M14" s="16"/>
      <c r="N14" s="16"/>
      <c r="O14" s="16"/>
      <c r="P14" s="16"/>
      <c r="Q14" s="16">
        <v>1</v>
      </c>
      <c r="R14" s="10">
        <f>H14</f>
        <v>25</v>
      </c>
    </row>
    <row r="15" spans="1:18" x14ac:dyDescent="0.25">
      <c r="A15" s="16"/>
      <c r="B15" s="16" t="s">
        <v>26</v>
      </c>
      <c r="C15" s="16" t="s">
        <v>989</v>
      </c>
      <c r="D15" s="16" t="s">
        <v>1185</v>
      </c>
      <c r="E15" s="16" t="s">
        <v>991</v>
      </c>
      <c r="F15" s="16" t="s">
        <v>82</v>
      </c>
      <c r="G15" s="17">
        <v>935</v>
      </c>
      <c r="H15" s="17">
        <v>25</v>
      </c>
      <c r="I15" s="17">
        <f t="shared" si="0"/>
        <v>910</v>
      </c>
      <c r="J15" s="16" t="s">
        <v>32</v>
      </c>
      <c r="K15" s="16" t="s">
        <v>32</v>
      </c>
      <c r="L15" s="16" t="s">
        <v>1157</v>
      </c>
      <c r="M15" s="16"/>
      <c r="N15" s="16"/>
      <c r="O15" s="16"/>
      <c r="P15" s="16"/>
      <c r="Q15" s="16">
        <v>1</v>
      </c>
    </row>
    <row r="16" spans="1:18" x14ac:dyDescent="0.25">
      <c r="A16" s="16"/>
      <c r="B16" s="16" t="s">
        <v>26</v>
      </c>
      <c r="C16" s="16" t="s">
        <v>1186</v>
      </c>
      <c r="D16" s="16" t="s">
        <v>1187</v>
      </c>
      <c r="E16" s="16" t="s">
        <v>1188</v>
      </c>
      <c r="F16" s="16" t="s">
        <v>82</v>
      </c>
      <c r="G16" s="17">
        <v>415</v>
      </c>
      <c r="H16" s="17">
        <v>25</v>
      </c>
      <c r="I16" s="17">
        <f t="shared" si="0"/>
        <v>390</v>
      </c>
      <c r="J16" s="16" t="s">
        <v>32</v>
      </c>
      <c r="K16" s="16" t="s">
        <v>32</v>
      </c>
      <c r="L16" s="16" t="s">
        <v>1157</v>
      </c>
      <c r="M16" s="16"/>
      <c r="N16" s="16"/>
      <c r="O16" s="16"/>
      <c r="P16" s="16"/>
      <c r="Q16" s="16">
        <v>1</v>
      </c>
    </row>
    <row r="17" spans="1:18" x14ac:dyDescent="0.25">
      <c r="A17" s="16"/>
      <c r="B17" s="16" t="s">
        <v>26</v>
      </c>
      <c r="C17" s="16" t="s">
        <v>1189</v>
      </c>
      <c r="D17" s="16" t="s">
        <v>1190</v>
      </c>
      <c r="E17" s="16" t="s">
        <v>1191</v>
      </c>
      <c r="F17" s="17">
        <v>2</v>
      </c>
      <c r="G17" s="17">
        <v>0</v>
      </c>
      <c r="H17" s="17">
        <v>30</v>
      </c>
      <c r="I17" s="17">
        <f t="shared" si="0"/>
        <v>-30</v>
      </c>
      <c r="J17" s="16" t="s">
        <v>32</v>
      </c>
      <c r="K17" s="16" t="s">
        <v>32</v>
      </c>
      <c r="L17" s="16" t="s">
        <v>1157</v>
      </c>
      <c r="M17" s="16"/>
      <c r="N17" s="16"/>
      <c r="O17" s="16"/>
      <c r="P17" s="16"/>
      <c r="Q17" s="16">
        <v>1</v>
      </c>
      <c r="R17" s="10">
        <f>H17</f>
        <v>30</v>
      </c>
    </row>
    <row r="18" spans="1:18" x14ac:dyDescent="0.25">
      <c r="A18" s="16"/>
      <c r="B18" s="16" t="s">
        <v>26</v>
      </c>
      <c r="C18" s="16" t="s">
        <v>1192</v>
      </c>
      <c r="D18" s="16" t="s">
        <v>1193</v>
      </c>
      <c r="E18" s="16" t="s">
        <v>1194</v>
      </c>
      <c r="F18" s="17">
        <v>12</v>
      </c>
      <c r="G18" s="17">
        <v>3210</v>
      </c>
      <c r="H18" s="17">
        <v>40</v>
      </c>
      <c r="I18" s="17">
        <f t="shared" si="0"/>
        <v>3170</v>
      </c>
      <c r="J18" s="16" t="s">
        <v>32</v>
      </c>
      <c r="K18" s="16" t="s">
        <v>32</v>
      </c>
      <c r="L18" s="16" t="s">
        <v>1157</v>
      </c>
      <c r="M18" s="18" t="s">
        <v>55</v>
      </c>
      <c r="N18" s="16"/>
      <c r="O18" s="16"/>
      <c r="P18" s="16"/>
      <c r="Q18" s="16">
        <v>1</v>
      </c>
      <c r="R18" s="10">
        <f>H18</f>
        <v>40</v>
      </c>
    </row>
    <row r="19" spans="1:18" x14ac:dyDescent="0.25">
      <c r="A19" s="16"/>
      <c r="B19" s="16" t="s">
        <v>26</v>
      </c>
      <c r="C19" s="16" t="s">
        <v>1195</v>
      </c>
      <c r="D19" s="16" t="s">
        <v>1196</v>
      </c>
      <c r="E19" s="16" t="s">
        <v>1197</v>
      </c>
      <c r="F19" s="16" t="s">
        <v>75</v>
      </c>
      <c r="G19" s="17">
        <v>0</v>
      </c>
      <c r="H19" s="17">
        <v>20</v>
      </c>
      <c r="I19" s="17">
        <f t="shared" si="0"/>
        <v>-20</v>
      </c>
      <c r="J19" s="16" t="s">
        <v>32</v>
      </c>
      <c r="K19" s="16" t="s">
        <v>32</v>
      </c>
      <c r="L19" s="16" t="s">
        <v>1157</v>
      </c>
      <c r="M19" s="16"/>
      <c r="N19" s="16"/>
      <c r="O19" s="16"/>
      <c r="P19" s="16"/>
      <c r="Q19" s="16">
        <v>1</v>
      </c>
      <c r="R19" s="10">
        <f>H19</f>
        <v>20</v>
      </c>
    </row>
    <row r="20" spans="1:18" x14ac:dyDescent="0.25">
      <c r="A20" s="16" t="s">
        <v>141</v>
      </c>
      <c r="B20" s="16" t="s">
        <v>26</v>
      </c>
      <c r="C20" s="16" t="s">
        <v>1198</v>
      </c>
      <c r="D20" s="16"/>
      <c r="E20" s="16" t="s">
        <v>1199</v>
      </c>
      <c r="F20" s="16" t="s">
        <v>93</v>
      </c>
      <c r="G20" s="17">
        <v>30</v>
      </c>
      <c r="H20" s="17">
        <v>30</v>
      </c>
      <c r="I20" s="17">
        <f t="shared" si="0"/>
        <v>0</v>
      </c>
      <c r="J20" s="16" t="s">
        <v>32</v>
      </c>
      <c r="K20" s="16" t="s">
        <v>32</v>
      </c>
      <c r="L20" s="16" t="s">
        <v>1157</v>
      </c>
      <c r="M20" s="16"/>
      <c r="N20" s="16"/>
      <c r="O20" s="16"/>
      <c r="P20" s="16"/>
      <c r="Q20" s="16">
        <v>1</v>
      </c>
    </row>
    <row r="21" spans="1:18" x14ac:dyDescent="0.25">
      <c r="A21" s="16" t="s">
        <v>141</v>
      </c>
      <c r="B21" s="16" t="s">
        <v>26</v>
      </c>
      <c r="C21" s="16" t="s">
        <v>1200</v>
      </c>
      <c r="D21" s="16"/>
      <c r="E21" s="16" t="s">
        <v>1201</v>
      </c>
      <c r="F21" s="16" t="s">
        <v>93</v>
      </c>
      <c r="G21" s="17">
        <v>0</v>
      </c>
      <c r="H21" s="17">
        <v>30</v>
      </c>
      <c r="I21" s="17">
        <f t="shared" si="0"/>
        <v>-30</v>
      </c>
      <c r="J21" s="16" t="s">
        <v>32</v>
      </c>
      <c r="K21" s="16" t="s">
        <v>32</v>
      </c>
      <c r="L21" s="16" t="s">
        <v>1157</v>
      </c>
      <c r="M21" s="16"/>
      <c r="N21" s="16"/>
      <c r="O21" s="16"/>
      <c r="P21" s="16"/>
      <c r="Q21" s="16">
        <v>1</v>
      </c>
      <c r="R21" s="10">
        <f>H21</f>
        <v>30</v>
      </c>
    </row>
    <row r="22" spans="1:18" x14ac:dyDescent="0.25">
      <c r="A22" s="16"/>
      <c r="B22" s="16" t="s">
        <v>26</v>
      </c>
      <c r="C22" s="16" t="s">
        <v>1202</v>
      </c>
      <c r="D22" s="16" t="s">
        <v>1203</v>
      </c>
      <c r="E22" s="16" t="s">
        <v>1204</v>
      </c>
      <c r="F22" s="17">
        <v>7</v>
      </c>
      <c r="G22" s="17">
        <v>1220</v>
      </c>
      <c r="H22" s="17">
        <v>30</v>
      </c>
      <c r="I22" s="17">
        <f t="shared" si="0"/>
        <v>1190</v>
      </c>
      <c r="J22" s="16" t="s">
        <v>103</v>
      </c>
      <c r="K22" s="16" t="s">
        <v>32</v>
      </c>
      <c r="L22" s="16" t="s">
        <v>1157</v>
      </c>
      <c r="M22" s="16"/>
      <c r="N22" s="16"/>
      <c r="O22" s="16"/>
      <c r="P22" s="16"/>
      <c r="Q22" s="16">
        <v>1</v>
      </c>
    </row>
    <row r="23" spans="1:18" x14ac:dyDescent="0.25">
      <c r="A23" s="16"/>
      <c r="B23" s="16" t="s">
        <v>26</v>
      </c>
      <c r="C23" s="16" t="s">
        <v>1205</v>
      </c>
      <c r="D23" s="16" t="s">
        <v>1206</v>
      </c>
      <c r="E23" s="16" t="s">
        <v>1207</v>
      </c>
      <c r="F23" s="16" t="s">
        <v>110</v>
      </c>
      <c r="G23" s="17">
        <v>840</v>
      </c>
      <c r="H23" s="17">
        <v>20</v>
      </c>
      <c r="I23" s="17">
        <f t="shared" si="0"/>
        <v>820</v>
      </c>
      <c r="J23" s="16" t="s">
        <v>103</v>
      </c>
      <c r="K23" s="16" t="s">
        <v>32</v>
      </c>
      <c r="L23" s="16" t="s">
        <v>1157</v>
      </c>
      <c r="M23" s="16"/>
      <c r="N23" s="16"/>
      <c r="O23" s="16"/>
      <c r="P23" s="16"/>
      <c r="Q23" s="16">
        <v>1</v>
      </c>
    </row>
    <row r="24" spans="1:18" x14ac:dyDescent="0.25">
      <c r="A24" s="16"/>
      <c r="B24" s="16" t="s">
        <v>26</v>
      </c>
      <c r="C24" s="16" t="s">
        <v>1208</v>
      </c>
      <c r="D24" s="16" t="s">
        <v>1209</v>
      </c>
      <c r="E24" s="16" t="s">
        <v>1210</v>
      </c>
      <c r="F24" s="16" t="s">
        <v>93</v>
      </c>
      <c r="G24" s="17">
        <v>0</v>
      </c>
      <c r="H24" s="17">
        <v>25</v>
      </c>
      <c r="I24" s="17">
        <f t="shared" si="0"/>
        <v>-25</v>
      </c>
      <c r="J24" s="16" t="s">
        <v>103</v>
      </c>
      <c r="K24" s="16" t="s">
        <v>32</v>
      </c>
      <c r="L24" s="16" t="s">
        <v>1157</v>
      </c>
      <c r="M24" s="16"/>
      <c r="N24" s="16"/>
      <c r="O24" s="16"/>
      <c r="P24" s="16"/>
      <c r="Q24" s="16">
        <v>1</v>
      </c>
      <c r="R24" s="10">
        <f>H24</f>
        <v>25</v>
      </c>
    </row>
    <row r="25" spans="1:18" s="21" customFormat="1" x14ac:dyDescent="0.25">
      <c r="A25" s="19"/>
      <c r="B25" s="19" t="s">
        <v>26</v>
      </c>
      <c r="C25" s="19" t="s">
        <v>599</v>
      </c>
      <c r="D25" s="19" t="s">
        <v>1211</v>
      </c>
      <c r="E25" s="19" t="s">
        <v>1136</v>
      </c>
      <c r="F25" s="20">
        <v>3</v>
      </c>
      <c r="G25" s="20">
        <v>105</v>
      </c>
      <c r="H25" s="20">
        <v>25</v>
      </c>
      <c r="I25" s="20">
        <f t="shared" si="0"/>
        <v>80</v>
      </c>
      <c r="J25" s="19" t="s">
        <v>103</v>
      </c>
      <c r="K25" s="19" t="s">
        <v>32</v>
      </c>
      <c r="L25" s="19" t="s">
        <v>1157</v>
      </c>
      <c r="M25" s="19" t="s">
        <v>68</v>
      </c>
      <c r="N25" s="19"/>
      <c r="O25" s="19"/>
      <c r="P25" s="19"/>
      <c r="Q25" s="19">
        <v>1</v>
      </c>
    </row>
    <row r="26" spans="1:18" x14ac:dyDescent="0.25">
      <c r="A26" s="16"/>
      <c r="B26" s="16" t="s">
        <v>26</v>
      </c>
      <c r="C26" s="16" t="s">
        <v>1212</v>
      </c>
      <c r="D26" s="16" t="s">
        <v>1213</v>
      </c>
      <c r="E26" s="16" t="s">
        <v>1214</v>
      </c>
      <c r="F26" s="17">
        <v>1</v>
      </c>
      <c r="G26" s="17">
        <v>0</v>
      </c>
      <c r="H26" s="17">
        <v>25</v>
      </c>
      <c r="I26" s="17">
        <f t="shared" si="0"/>
        <v>-25</v>
      </c>
      <c r="J26" s="16" t="s">
        <v>103</v>
      </c>
      <c r="K26" s="16" t="s">
        <v>32</v>
      </c>
      <c r="L26" s="16" t="s">
        <v>1157</v>
      </c>
      <c r="M26" s="16"/>
      <c r="N26" s="16"/>
      <c r="O26" s="16"/>
      <c r="P26" s="16"/>
      <c r="Q26" s="16">
        <v>1</v>
      </c>
      <c r="R26" s="10">
        <f>H26</f>
        <v>25</v>
      </c>
    </row>
    <row r="27" spans="1:18" x14ac:dyDescent="0.25">
      <c r="A27" s="16" t="s">
        <v>141</v>
      </c>
      <c r="B27" s="16" t="s">
        <v>26</v>
      </c>
      <c r="C27" s="16" t="s">
        <v>1215</v>
      </c>
      <c r="D27" s="16"/>
      <c r="E27" s="16" t="s">
        <v>1216</v>
      </c>
      <c r="F27" s="17">
        <v>10</v>
      </c>
      <c r="G27" s="17">
        <v>0</v>
      </c>
      <c r="H27" s="17">
        <v>30</v>
      </c>
      <c r="I27" s="17">
        <f t="shared" si="0"/>
        <v>-30</v>
      </c>
      <c r="J27" s="16" t="s">
        <v>103</v>
      </c>
      <c r="K27" s="16" t="s">
        <v>32</v>
      </c>
      <c r="L27" s="16" t="s">
        <v>1157</v>
      </c>
      <c r="M27" s="16"/>
      <c r="N27" s="16"/>
      <c r="O27" s="16"/>
      <c r="P27" s="16"/>
      <c r="Q27" s="16">
        <v>1</v>
      </c>
      <c r="R27" s="10">
        <f>H27</f>
        <v>30</v>
      </c>
    </row>
    <row r="29" spans="1:18" x14ac:dyDescent="0.25">
      <c r="D29" s="1">
        <f>COUNTA(D3:D27)</f>
        <v>21</v>
      </c>
      <c r="G29" s="1">
        <f t="shared" ref="G29:Q29" si="1">SUBTOTAL(9,G3:G27)</f>
        <v>10875</v>
      </c>
      <c r="H29" s="1">
        <f t="shared" si="1"/>
        <v>695</v>
      </c>
      <c r="I29" s="1">
        <f t="shared" si="1"/>
        <v>10180</v>
      </c>
      <c r="J29" s="1">
        <f t="shared" si="1"/>
        <v>0</v>
      </c>
      <c r="K29" s="1">
        <f t="shared" si="1"/>
        <v>0</v>
      </c>
      <c r="L29" s="1">
        <f t="shared" si="1"/>
        <v>0</v>
      </c>
      <c r="M29" s="1">
        <f t="shared" si="1"/>
        <v>0</v>
      </c>
      <c r="N29" s="1">
        <f t="shared" si="1"/>
        <v>0</v>
      </c>
      <c r="O29" s="1">
        <f t="shared" si="1"/>
        <v>0</v>
      </c>
      <c r="P29" s="1">
        <f t="shared" si="1"/>
        <v>0</v>
      </c>
      <c r="Q29" s="1">
        <f t="shared" si="1"/>
        <v>25</v>
      </c>
    </row>
    <row r="30" spans="1:18" x14ac:dyDescent="0.25">
      <c r="H30">
        <f>-5*17</f>
        <v>-85</v>
      </c>
    </row>
    <row r="31" spans="1:18" x14ac:dyDescent="0.25">
      <c r="A31" s="1" t="s">
        <v>26</v>
      </c>
      <c r="C31" s="34" t="s">
        <v>144</v>
      </c>
      <c r="D31" s="34"/>
      <c r="E31" s="4" t="s">
        <v>145</v>
      </c>
      <c r="H31">
        <f>-5*25</f>
        <v>-125</v>
      </c>
      <c r="K31" s="11" t="s">
        <v>32</v>
      </c>
      <c r="L31" s="11" t="s">
        <v>146</v>
      </c>
      <c r="M31" s="11" t="s">
        <v>145</v>
      </c>
      <c r="O31" s="4" t="s">
        <v>147</v>
      </c>
    </row>
    <row r="32" spans="1:18" x14ac:dyDescent="0.25">
      <c r="A32" t="s">
        <v>1157</v>
      </c>
      <c r="B32" s="3" t="s">
        <v>148</v>
      </c>
      <c r="C32" s="35">
        <f>SUMIFS(I$3:I$27,B$3:B$27,A$31,L$3:L$27,A$32)</f>
        <v>10180</v>
      </c>
      <c r="D32" s="35"/>
      <c r="E32" s="3">
        <f>SUMIFS(Q$3:Q$27,B$3:B$27,A$31,L$3:L$27,A$32)</f>
        <v>25</v>
      </c>
      <c r="F32" t="s">
        <v>149</v>
      </c>
      <c r="H32">
        <f>-1*30</f>
        <v>-30</v>
      </c>
      <c r="K32" t="s">
        <v>150</v>
      </c>
      <c r="L32">
        <f>SUMIFS(G$3:G$27,J$3:J$27,K$31)</f>
        <v>4590</v>
      </c>
      <c r="M32">
        <f>SUMIFS(Q$3:Q$27,J$3:J$27,K$31)-INT(COUNTIFS(J$3:J$27,K$31,M$3:M$27,"*gộp*")/2)</f>
        <v>9</v>
      </c>
      <c r="O32" t="s">
        <v>32</v>
      </c>
      <c r="P32">
        <f>L37</f>
        <v>4335</v>
      </c>
    </row>
    <row r="33" spans="2:16" x14ac:dyDescent="0.25">
      <c r="B33" s="2" t="s">
        <v>152</v>
      </c>
      <c r="C33" s="36">
        <v>0</v>
      </c>
      <c r="D33" s="36"/>
      <c r="K33" t="s">
        <v>153</v>
      </c>
      <c r="L33">
        <f>-SUMIFS(H$3:H$27,J$3:J$27,K$31)+M33*5</f>
        <v>-205</v>
      </c>
      <c r="M33">
        <f>SUMIFS(Q$3:Q$27,J$3:J$27,K$31)-INT(COUNTIFS(J$3:J$27,K$31,M$3:M$27,"*gộp*")/2)</f>
        <v>9</v>
      </c>
      <c r="O33" t="s">
        <v>1217</v>
      </c>
      <c r="P33">
        <f>L45</f>
        <v>3880</v>
      </c>
    </row>
    <row r="34" spans="2:16" x14ac:dyDescent="0.25">
      <c r="B34" s="2" t="s">
        <v>154</v>
      </c>
      <c r="C34" s="36">
        <f>-SUMIFS(I$3:I$27,B$3:B$27,A$31,P$3:P$27,"xx",N$3:N$27,"x")</f>
        <v>0</v>
      </c>
      <c r="D34" s="36"/>
      <c r="E34" s="2">
        <f>SUMIFS(Q$3:Q$27,B$3:B$27,A$31,P$3:P$27,"xx",N$3:N$27,"x")</f>
        <v>0</v>
      </c>
      <c r="K34" t="s">
        <v>155</v>
      </c>
      <c r="L34">
        <f>-M34*2</f>
        <v>-50</v>
      </c>
      <c r="M34">
        <f>E35-(COUNTIFS(M$3:M$27,"*gộp*")/2)-COUNTIFS(M$3:M$27,"*đơn trả*")-COUNTIFS(M$3:M$27,"*hàng tỉnh*")</f>
        <v>25</v>
      </c>
      <c r="O34" t="s">
        <v>103</v>
      </c>
      <c r="P34">
        <f>L53</f>
        <v>2040</v>
      </c>
    </row>
    <row r="35" spans="2:16" x14ac:dyDescent="0.25">
      <c r="B35" s="4" t="s">
        <v>156</v>
      </c>
      <c r="C35" s="34">
        <f>SUBTOTAL(9,C32:C34)</f>
        <v>10180</v>
      </c>
      <c r="D35" s="34"/>
      <c r="E35">
        <f>E32</f>
        <v>25</v>
      </c>
      <c r="K35" s="12" t="s">
        <v>157</v>
      </c>
      <c r="O35" t="s">
        <v>158</v>
      </c>
      <c r="P35">
        <f>-C39</f>
        <v>-10180</v>
      </c>
    </row>
    <row r="36" spans="2:16" x14ac:dyDescent="0.25">
      <c r="B36" s="2" t="s">
        <v>159</v>
      </c>
      <c r="C36" s="32"/>
      <c r="D36" s="32"/>
      <c r="K36" s="2" t="s">
        <v>160</v>
      </c>
      <c r="O36" s="4" t="s">
        <v>161</v>
      </c>
      <c r="P36" s="4">
        <f>SUBTOTAL(9,P32:P35)</f>
        <v>75</v>
      </c>
    </row>
    <row r="37" spans="2:16" x14ac:dyDescent="0.25">
      <c r="B37" s="13" t="s">
        <v>162</v>
      </c>
      <c r="C37" s="32"/>
      <c r="D37" s="32"/>
      <c r="L37" s="14">
        <f>SUBTOTAL(9,L32:L36)</f>
        <v>4335</v>
      </c>
      <c r="M37" s="14">
        <f>M32</f>
        <v>9</v>
      </c>
    </row>
    <row r="39" spans="2:16" x14ac:dyDescent="0.25">
      <c r="B39" s="1" t="s">
        <v>163</v>
      </c>
      <c r="C39" s="33">
        <f>C35+C36+C37</f>
        <v>10180</v>
      </c>
      <c r="D39" s="33"/>
      <c r="E39" s="1" t="s">
        <v>164</v>
      </c>
      <c r="K39" s="11" t="s">
        <v>1156</v>
      </c>
      <c r="L39" s="11" t="s">
        <v>146</v>
      </c>
      <c r="M39" s="11" t="s">
        <v>145</v>
      </c>
    </row>
    <row r="40" spans="2:16" x14ac:dyDescent="0.25">
      <c r="K40" t="s">
        <v>150</v>
      </c>
      <c r="L40">
        <f>SUMIFS(G$3:G$27,J$3:J$27,K$39)</f>
        <v>4120</v>
      </c>
      <c r="M40">
        <f>SUMIFS(Q$3:Q$27,J$3:J$27,K$39)-INT(COUNTIFS(J$3:J$27,K$39,M$3:M$27,"*gộp*")/2)</f>
        <v>10</v>
      </c>
    </row>
    <row r="41" spans="2:16" x14ac:dyDescent="0.25">
      <c r="K41" t="s">
        <v>153</v>
      </c>
      <c r="L41">
        <f>SUM(H30:H32)</f>
        <v>-240</v>
      </c>
      <c r="M41">
        <f>SUMIFS(Q$3:Q$27,J$3:J$27,K$39)-INT(COUNTIFS(J$3:J$27,K$39,M$3:M$27,"*gộp*")/2)</f>
        <v>10</v>
      </c>
    </row>
    <row r="42" spans="2:16" x14ac:dyDescent="0.25">
      <c r="K42" t="s">
        <v>155</v>
      </c>
    </row>
    <row r="43" spans="2:16" x14ac:dyDescent="0.25">
      <c r="K43" s="12" t="s">
        <v>157</v>
      </c>
    </row>
    <row r="44" spans="2:16" x14ac:dyDescent="0.25">
      <c r="K44" s="2" t="s">
        <v>160</v>
      </c>
    </row>
    <row r="45" spans="2:16" x14ac:dyDescent="0.25">
      <c r="L45" s="14">
        <f>SUBTOTAL(9,L40:L44)</f>
        <v>3880</v>
      </c>
      <c r="M45" s="14">
        <f>M40</f>
        <v>10</v>
      </c>
    </row>
    <row r="47" spans="2:16" x14ac:dyDescent="0.25">
      <c r="K47" s="11" t="s">
        <v>103</v>
      </c>
      <c r="L47" s="11" t="s">
        <v>146</v>
      </c>
      <c r="M47" s="11" t="s">
        <v>145</v>
      </c>
    </row>
    <row r="48" spans="2:16" x14ac:dyDescent="0.25">
      <c r="K48" t="s">
        <v>150</v>
      </c>
      <c r="L48">
        <f>SUMIFS(G$3:G$27,J$3:J$27,K$47)</f>
        <v>2165</v>
      </c>
      <c r="M48">
        <f>SUMIFS(Q$3:Q$27,J$3:J$27,K$47)-INT(COUNTIFS(J$3:J$27,K$47,M$3:M$27,"*gộp*")/2)</f>
        <v>6</v>
      </c>
    </row>
    <row r="49" spans="11:13" x14ac:dyDescent="0.25">
      <c r="K49" t="s">
        <v>153</v>
      </c>
      <c r="L49">
        <f>-SUMIFS(H$3:H$27,J$3:J$27,K$47)+M49*5</f>
        <v>-125</v>
      </c>
      <c r="M49">
        <f>SUMIFS(Q$3:Q$27,J$3:J$27,K$47)-INT(COUNTIFS(J$3:J$27,K$47,M$3:M$27,"*gộp*")/2)</f>
        <v>6</v>
      </c>
    </row>
    <row r="50" spans="11:13" x14ac:dyDescent="0.25">
      <c r="K50" t="s">
        <v>155</v>
      </c>
    </row>
    <row r="51" spans="11:13" x14ac:dyDescent="0.25">
      <c r="K51" s="12" t="s">
        <v>157</v>
      </c>
    </row>
    <row r="52" spans="11:13" x14ac:dyDescent="0.25">
      <c r="K52" s="2" t="s">
        <v>160</v>
      </c>
    </row>
    <row r="53" spans="11:13" x14ac:dyDescent="0.25">
      <c r="L53" s="14">
        <f>SUBTOTAL(9,L48:L52)</f>
        <v>2040</v>
      </c>
      <c r="M53" s="14">
        <f>M48</f>
        <v>6</v>
      </c>
    </row>
  </sheetData>
  <autoFilter ref="A2:P27" xr:uid="{00000000-0009-0000-0000-00000C000000}">
    <sortState xmlns:xlrd2="http://schemas.microsoft.com/office/spreadsheetml/2017/richdata2" ref="A3:P27">
      <sortCondition ref="J2:J27"/>
    </sortState>
  </autoFilter>
  <mergeCells count="8">
    <mergeCell ref="C36:D36"/>
    <mergeCell ref="C37:D37"/>
    <mergeCell ref="C39:D39"/>
    <mergeCell ref="C31:D31"/>
    <mergeCell ref="C32:D32"/>
    <mergeCell ref="C33:D33"/>
    <mergeCell ref="C34:D34"/>
    <mergeCell ref="C35:D35"/>
  </mergeCells>
  <pageMargins left="0.75" right="0.75" top="0.75" bottom="0.5" header="0.5" footer="0.7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R50"/>
  <sheetViews>
    <sheetView workbookViewId="0">
      <selection activeCell="A20" sqref="A20 A20:XFD20"/>
    </sheetView>
  </sheetViews>
  <sheetFormatPr defaultRowHeight="15" x14ac:dyDescent="0.25"/>
  <cols>
    <col min="1" max="1" width="12.7109375" customWidth="1"/>
    <col min="2" max="2" width="17.7109375" customWidth="1"/>
    <col min="3" max="3" width="33.42578125" customWidth="1"/>
    <col min="4" max="4" width="9.85546875" customWidth="1"/>
    <col min="5" max="5" width="60.28515625" customWidth="1"/>
    <col min="6" max="6" width="10.855468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0.42578125" customWidth="1"/>
    <col min="13" max="13" width="13.85546875" customWidth="1"/>
    <col min="14" max="14" width="9.7109375" customWidth="1"/>
    <col min="15" max="15" width="10.42578125" customWidth="1"/>
    <col min="16" max="16" width="7" bestFit="1" customWidth="1"/>
  </cols>
  <sheetData>
    <row r="2" spans="1:18" x14ac:dyDescent="0.25">
      <c r="A2" s="15" t="s">
        <v>10</v>
      </c>
      <c r="B2" s="15" t="s">
        <v>11</v>
      </c>
      <c r="C2" s="15" t="s">
        <v>12</v>
      </c>
      <c r="D2" s="15" t="s">
        <v>13</v>
      </c>
      <c r="E2" s="15" t="s">
        <v>14</v>
      </c>
      <c r="F2" s="15" t="s">
        <v>15</v>
      </c>
      <c r="G2" s="15" t="s">
        <v>16</v>
      </c>
      <c r="H2" s="15" t="s">
        <v>17</v>
      </c>
      <c r="I2" s="15" t="s">
        <v>18</v>
      </c>
      <c r="J2" s="15" t="s">
        <v>19</v>
      </c>
      <c r="K2" s="15" t="s">
        <v>20</v>
      </c>
      <c r="L2" s="15" t="s">
        <v>21</v>
      </c>
      <c r="M2" s="15" t="s">
        <v>22</v>
      </c>
      <c r="N2" s="15" t="s">
        <v>23</v>
      </c>
      <c r="O2" s="15" t="s">
        <v>24</v>
      </c>
      <c r="P2" s="15" t="s">
        <v>25</v>
      </c>
      <c r="Q2" s="16"/>
    </row>
    <row r="3" spans="1:18" x14ac:dyDescent="0.25">
      <c r="A3" s="16"/>
      <c r="B3" s="16" t="s">
        <v>26</v>
      </c>
      <c r="C3" s="16" t="s">
        <v>1218</v>
      </c>
      <c r="D3" s="16" t="s">
        <v>1219</v>
      </c>
      <c r="E3" s="16" t="s">
        <v>1220</v>
      </c>
      <c r="F3" s="17">
        <v>9</v>
      </c>
      <c r="G3" s="17">
        <v>0</v>
      </c>
      <c r="H3" s="17">
        <v>30</v>
      </c>
      <c r="I3" s="17">
        <f t="shared" ref="I3:I24" si="0">G3-H3</f>
        <v>-30</v>
      </c>
      <c r="J3" s="16" t="s">
        <v>1221</v>
      </c>
      <c r="K3" s="16" t="s">
        <v>32</v>
      </c>
      <c r="L3" s="16" t="s">
        <v>1222</v>
      </c>
      <c r="M3" s="16"/>
      <c r="N3" s="16"/>
      <c r="O3" s="16"/>
      <c r="P3" s="16"/>
      <c r="Q3" s="16">
        <v>1</v>
      </c>
      <c r="R3" s="10">
        <f>H3</f>
        <v>30</v>
      </c>
    </row>
    <row r="4" spans="1:18" x14ac:dyDescent="0.25">
      <c r="A4" s="16"/>
      <c r="B4" s="16" t="s">
        <v>26</v>
      </c>
      <c r="C4" s="16" t="s">
        <v>1223</v>
      </c>
      <c r="D4" s="16" t="s">
        <v>1224</v>
      </c>
      <c r="E4" s="16" t="s">
        <v>1225</v>
      </c>
      <c r="F4" s="16" t="s">
        <v>51</v>
      </c>
      <c r="G4" s="17">
        <v>970</v>
      </c>
      <c r="H4" s="17">
        <v>30</v>
      </c>
      <c r="I4" s="17">
        <f t="shared" si="0"/>
        <v>940</v>
      </c>
      <c r="J4" s="16" t="s">
        <v>1221</v>
      </c>
      <c r="K4" s="16" t="s">
        <v>32</v>
      </c>
      <c r="L4" s="16" t="s">
        <v>1222</v>
      </c>
      <c r="M4" s="16"/>
      <c r="N4" s="16"/>
      <c r="O4" s="16"/>
      <c r="P4" s="16"/>
      <c r="Q4" s="16">
        <v>1</v>
      </c>
    </row>
    <row r="5" spans="1:18" x14ac:dyDescent="0.25">
      <c r="A5" s="16"/>
      <c r="B5" s="16" t="s">
        <v>26</v>
      </c>
      <c r="C5" s="16" t="s">
        <v>1226</v>
      </c>
      <c r="D5" s="16" t="s">
        <v>1227</v>
      </c>
      <c r="E5" s="16" t="s">
        <v>1228</v>
      </c>
      <c r="F5" s="16" t="s">
        <v>51</v>
      </c>
      <c r="G5" s="17">
        <v>870</v>
      </c>
      <c r="H5" s="17">
        <v>30</v>
      </c>
      <c r="I5" s="17">
        <f t="shared" si="0"/>
        <v>840</v>
      </c>
      <c r="J5" s="16" t="s">
        <v>1221</v>
      </c>
      <c r="K5" s="16" t="s">
        <v>32</v>
      </c>
      <c r="L5" s="16" t="s">
        <v>1222</v>
      </c>
      <c r="M5" s="16"/>
      <c r="N5" s="16"/>
      <c r="O5" s="16"/>
      <c r="P5" s="16"/>
      <c r="Q5" s="16">
        <v>1</v>
      </c>
    </row>
    <row r="6" spans="1:18" x14ac:dyDescent="0.25">
      <c r="A6" s="16" t="s">
        <v>141</v>
      </c>
      <c r="B6" s="16" t="s">
        <v>26</v>
      </c>
      <c r="C6" s="16" t="s">
        <v>1229</v>
      </c>
      <c r="D6" s="16"/>
      <c r="E6" s="16" t="s">
        <v>1230</v>
      </c>
      <c r="F6" s="16" t="s">
        <v>51</v>
      </c>
      <c r="G6" s="17">
        <v>35</v>
      </c>
      <c r="H6" s="17">
        <v>35</v>
      </c>
      <c r="I6" s="17">
        <f t="shared" si="0"/>
        <v>0</v>
      </c>
      <c r="J6" s="16" t="s">
        <v>1221</v>
      </c>
      <c r="K6" s="16" t="s">
        <v>32</v>
      </c>
      <c r="L6" s="16" t="s">
        <v>1222</v>
      </c>
      <c r="M6" s="16"/>
      <c r="N6" s="16"/>
      <c r="O6" s="16"/>
      <c r="P6" s="16"/>
      <c r="Q6" s="16">
        <v>1</v>
      </c>
    </row>
    <row r="7" spans="1:18" x14ac:dyDescent="0.25">
      <c r="A7" s="16"/>
      <c r="B7" s="16" t="s">
        <v>26</v>
      </c>
      <c r="C7" s="16" t="s">
        <v>1231</v>
      </c>
      <c r="D7" s="16" t="s">
        <v>1232</v>
      </c>
      <c r="E7" s="16" t="s">
        <v>1233</v>
      </c>
      <c r="F7" s="16" t="s">
        <v>75</v>
      </c>
      <c r="G7" s="17">
        <v>910</v>
      </c>
      <c r="H7" s="17">
        <v>20</v>
      </c>
      <c r="I7" s="17">
        <f t="shared" si="0"/>
        <v>890</v>
      </c>
      <c r="J7" s="16" t="s">
        <v>32</v>
      </c>
      <c r="K7" s="16" t="s">
        <v>32</v>
      </c>
      <c r="L7" s="16" t="s">
        <v>1222</v>
      </c>
      <c r="M7" s="16"/>
      <c r="N7" s="16"/>
      <c r="O7" s="16"/>
      <c r="P7" s="16"/>
      <c r="Q7" s="16">
        <v>1</v>
      </c>
    </row>
    <row r="8" spans="1:18" x14ac:dyDescent="0.25">
      <c r="A8" s="16"/>
      <c r="B8" s="16" t="s">
        <v>26</v>
      </c>
      <c r="C8" s="16" t="s">
        <v>1234</v>
      </c>
      <c r="D8" s="16" t="s">
        <v>1235</v>
      </c>
      <c r="E8" s="16" t="s">
        <v>1236</v>
      </c>
      <c r="F8" s="16" t="s">
        <v>82</v>
      </c>
      <c r="G8" s="17">
        <v>0</v>
      </c>
      <c r="H8" s="17">
        <v>25</v>
      </c>
      <c r="I8" s="17">
        <f t="shared" si="0"/>
        <v>-25</v>
      </c>
      <c r="J8" s="16" t="s">
        <v>32</v>
      </c>
      <c r="K8" s="16" t="s">
        <v>32</v>
      </c>
      <c r="L8" s="16" t="s">
        <v>1222</v>
      </c>
      <c r="M8" s="16"/>
      <c r="N8" s="16"/>
      <c r="O8" s="16"/>
      <c r="P8" s="16"/>
      <c r="Q8" s="16">
        <v>1</v>
      </c>
      <c r="R8" s="10">
        <f>H8</f>
        <v>25</v>
      </c>
    </row>
    <row r="9" spans="1:18" x14ac:dyDescent="0.25">
      <c r="A9" s="16"/>
      <c r="B9" s="16" t="s">
        <v>26</v>
      </c>
      <c r="C9" s="16" t="s">
        <v>219</v>
      </c>
      <c r="D9" s="16" t="s">
        <v>1237</v>
      </c>
      <c r="E9" s="16" t="s">
        <v>221</v>
      </c>
      <c r="F9" s="16" t="s">
        <v>75</v>
      </c>
      <c r="G9" s="17">
        <v>1070</v>
      </c>
      <c r="H9" s="17">
        <v>20</v>
      </c>
      <c r="I9" s="17">
        <f t="shared" si="0"/>
        <v>1050</v>
      </c>
      <c r="J9" s="16" t="s">
        <v>32</v>
      </c>
      <c r="K9" s="16" t="s">
        <v>32</v>
      </c>
      <c r="L9" s="16" t="s">
        <v>1222</v>
      </c>
      <c r="M9" s="16"/>
      <c r="N9" s="16"/>
      <c r="O9" s="16"/>
      <c r="P9" s="16"/>
      <c r="Q9" s="16">
        <v>1</v>
      </c>
    </row>
    <row r="10" spans="1:18" x14ac:dyDescent="0.25">
      <c r="A10" s="16"/>
      <c r="B10" s="16" t="s">
        <v>26</v>
      </c>
      <c r="C10" s="16" t="s">
        <v>1238</v>
      </c>
      <c r="D10" s="16" t="s">
        <v>1239</v>
      </c>
      <c r="E10" s="16" t="s">
        <v>1240</v>
      </c>
      <c r="F10" s="16" t="s">
        <v>75</v>
      </c>
      <c r="G10" s="17">
        <v>5230</v>
      </c>
      <c r="H10" s="17">
        <v>40</v>
      </c>
      <c r="I10" s="17">
        <f t="shared" si="0"/>
        <v>5190</v>
      </c>
      <c r="J10" s="16" t="s">
        <v>32</v>
      </c>
      <c r="K10" s="16" t="s">
        <v>32</v>
      </c>
      <c r="L10" s="16" t="s">
        <v>1222</v>
      </c>
      <c r="M10" s="18" t="s">
        <v>55</v>
      </c>
      <c r="N10" s="16"/>
      <c r="O10" s="16"/>
      <c r="P10" s="16"/>
      <c r="Q10" s="16">
        <v>1</v>
      </c>
      <c r="R10" s="10">
        <f>H10</f>
        <v>40</v>
      </c>
    </row>
    <row r="11" spans="1:18" x14ac:dyDescent="0.25">
      <c r="A11" s="16" t="s">
        <v>141</v>
      </c>
      <c r="B11" s="16" t="s">
        <v>26</v>
      </c>
      <c r="C11" s="16" t="s">
        <v>1241</v>
      </c>
      <c r="D11" s="16"/>
      <c r="E11" s="16" t="s">
        <v>1242</v>
      </c>
      <c r="F11" s="17">
        <v>12</v>
      </c>
      <c r="G11" s="17">
        <v>35</v>
      </c>
      <c r="H11" s="17">
        <v>35</v>
      </c>
      <c r="I11" s="17">
        <f t="shared" si="0"/>
        <v>0</v>
      </c>
      <c r="J11" s="16" t="s">
        <v>32</v>
      </c>
      <c r="K11" s="16" t="s">
        <v>32</v>
      </c>
      <c r="L11" s="16" t="s">
        <v>1222</v>
      </c>
      <c r="M11" s="16"/>
      <c r="N11" s="16"/>
      <c r="O11" s="16"/>
      <c r="P11" s="16"/>
      <c r="Q11" s="16">
        <v>1</v>
      </c>
    </row>
    <row r="12" spans="1:18" x14ac:dyDescent="0.25">
      <c r="A12" s="16" t="s">
        <v>141</v>
      </c>
      <c r="B12" s="16" t="s">
        <v>26</v>
      </c>
      <c r="C12" s="16" t="s">
        <v>421</v>
      </c>
      <c r="D12" s="16"/>
      <c r="E12" s="16" t="s">
        <v>422</v>
      </c>
      <c r="F12" s="16" t="s">
        <v>82</v>
      </c>
      <c r="G12" s="17">
        <v>810</v>
      </c>
      <c r="H12" s="17">
        <v>30</v>
      </c>
      <c r="I12" s="17">
        <f t="shared" si="0"/>
        <v>780</v>
      </c>
      <c r="J12" s="16" t="s">
        <v>32</v>
      </c>
      <c r="K12" s="16" t="s">
        <v>32</v>
      </c>
      <c r="L12" s="16" t="s">
        <v>1222</v>
      </c>
      <c r="M12" s="16"/>
      <c r="N12" s="16"/>
      <c r="O12" s="16"/>
      <c r="P12" s="16"/>
      <c r="Q12" s="16">
        <v>1</v>
      </c>
    </row>
    <row r="13" spans="1:18" x14ac:dyDescent="0.25">
      <c r="A13" s="16"/>
      <c r="B13" s="16" t="s">
        <v>26</v>
      </c>
      <c r="C13" s="16" t="s">
        <v>1243</v>
      </c>
      <c r="D13" s="16" t="s">
        <v>1244</v>
      </c>
      <c r="E13" s="16" t="s">
        <v>1245</v>
      </c>
      <c r="F13" s="17">
        <v>1</v>
      </c>
      <c r="G13" s="17">
        <v>2070</v>
      </c>
      <c r="H13" s="17">
        <v>30</v>
      </c>
      <c r="I13" s="17">
        <f t="shared" si="0"/>
        <v>2040</v>
      </c>
      <c r="J13" s="16" t="s">
        <v>103</v>
      </c>
      <c r="K13" s="16" t="s">
        <v>32</v>
      </c>
      <c r="L13" s="16" t="s">
        <v>1222</v>
      </c>
      <c r="M13" s="18" t="s">
        <v>55</v>
      </c>
      <c r="N13" s="16"/>
      <c r="O13" s="16"/>
      <c r="P13" s="16"/>
      <c r="Q13" s="16">
        <v>1</v>
      </c>
      <c r="R13" s="10">
        <f>H13</f>
        <v>30</v>
      </c>
    </row>
    <row r="14" spans="1:18" x14ac:dyDescent="0.25">
      <c r="A14" s="16"/>
      <c r="B14" s="16" t="s">
        <v>26</v>
      </c>
      <c r="C14" s="16" t="s">
        <v>1246</v>
      </c>
      <c r="D14" s="16" t="s">
        <v>1247</v>
      </c>
      <c r="E14" s="16" t="s">
        <v>1248</v>
      </c>
      <c r="F14" s="16" t="s">
        <v>243</v>
      </c>
      <c r="G14" s="17">
        <v>2310</v>
      </c>
      <c r="H14" s="17">
        <v>40</v>
      </c>
      <c r="I14" s="17">
        <f t="shared" si="0"/>
        <v>2270</v>
      </c>
      <c r="J14" s="16" t="s">
        <v>103</v>
      </c>
      <c r="K14" s="16" t="s">
        <v>32</v>
      </c>
      <c r="L14" s="16" t="s">
        <v>1222</v>
      </c>
      <c r="M14" s="18" t="s">
        <v>55</v>
      </c>
      <c r="N14" s="16"/>
      <c r="O14" s="16"/>
      <c r="P14" s="16"/>
      <c r="Q14" s="16">
        <v>1</v>
      </c>
      <c r="R14" s="10">
        <f>H14</f>
        <v>40</v>
      </c>
    </row>
    <row r="15" spans="1:18" x14ac:dyDescent="0.25">
      <c r="A15" s="16"/>
      <c r="B15" s="16" t="s">
        <v>26</v>
      </c>
      <c r="C15" s="16" t="s">
        <v>1249</v>
      </c>
      <c r="D15" s="16" t="s">
        <v>1250</v>
      </c>
      <c r="E15" s="16" t="s">
        <v>1251</v>
      </c>
      <c r="F15" s="17">
        <v>10</v>
      </c>
      <c r="G15" s="17">
        <v>545</v>
      </c>
      <c r="H15" s="17">
        <v>25</v>
      </c>
      <c r="I15" s="17">
        <f t="shared" si="0"/>
        <v>520</v>
      </c>
      <c r="J15" s="16" t="s">
        <v>103</v>
      </c>
      <c r="K15" s="16" t="s">
        <v>32</v>
      </c>
      <c r="L15" s="16" t="s">
        <v>1222</v>
      </c>
      <c r="M15" s="16"/>
      <c r="N15" s="16"/>
      <c r="O15" s="16"/>
      <c r="P15" s="16"/>
      <c r="Q15" s="16">
        <v>1</v>
      </c>
    </row>
    <row r="16" spans="1:18" x14ac:dyDescent="0.25">
      <c r="A16" s="16"/>
      <c r="B16" s="16" t="s">
        <v>26</v>
      </c>
      <c r="C16" s="16" t="s">
        <v>902</v>
      </c>
      <c r="D16" s="16" t="s">
        <v>1252</v>
      </c>
      <c r="E16" s="16" t="s">
        <v>904</v>
      </c>
      <c r="F16" s="17">
        <v>10</v>
      </c>
      <c r="G16" s="17">
        <v>1635</v>
      </c>
      <c r="H16" s="17">
        <v>25</v>
      </c>
      <c r="I16" s="17">
        <f t="shared" si="0"/>
        <v>1610</v>
      </c>
      <c r="J16" s="16" t="s">
        <v>103</v>
      </c>
      <c r="K16" s="16" t="s">
        <v>32</v>
      </c>
      <c r="L16" s="16" t="s">
        <v>1222</v>
      </c>
      <c r="M16" s="16"/>
      <c r="N16" s="16"/>
      <c r="O16" s="16"/>
      <c r="P16" s="16"/>
      <c r="Q16" s="16">
        <v>1</v>
      </c>
    </row>
    <row r="17" spans="1:18" x14ac:dyDescent="0.25">
      <c r="A17" s="16"/>
      <c r="B17" s="16" t="s">
        <v>26</v>
      </c>
      <c r="C17" s="16" t="s">
        <v>135</v>
      </c>
      <c r="D17" s="16" t="s">
        <v>1253</v>
      </c>
      <c r="E17" s="16" t="s">
        <v>137</v>
      </c>
      <c r="F17" s="17">
        <v>4</v>
      </c>
      <c r="G17" s="17">
        <v>856</v>
      </c>
      <c r="H17" s="17">
        <v>16</v>
      </c>
      <c r="I17" s="17">
        <f t="shared" si="0"/>
        <v>840</v>
      </c>
      <c r="J17" s="16" t="s">
        <v>103</v>
      </c>
      <c r="K17" s="16" t="s">
        <v>32</v>
      </c>
      <c r="L17" s="16" t="s">
        <v>1222</v>
      </c>
      <c r="M17" s="16"/>
      <c r="N17" s="16"/>
      <c r="O17" s="16"/>
      <c r="P17" s="16"/>
      <c r="Q17" s="16">
        <v>1</v>
      </c>
    </row>
    <row r="18" spans="1:18" x14ac:dyDescent="0.25">
      <c r="A18" s="16"/>
      <c r="B18" s="16" t="s">
        <v>26</v>
      </c>
      <c r="C18" s="16" t="s">
        <v>1254</v>
      </c>
      <c r="D18" s="16" t="s">
        <v>1255</v>
      </c>
      <c r="E18" s="16" t="s">
        <v>1256</v>
      </c>
      <c r="F18" s="17">
        <v>7</v>
      </c>
      <c r="G18" s="17">
        <v>920</v>
      </c>
      <c r="H18" s="17">
        <v>30</v>
      </c>
      <c r="I18" s="17">
        <f t="shared" si="0"/>
        <v>890</v>
      </c>
      <c r="J18" s="16" t="s">
        <v>103</v>
      </c>
      <c r="K18" s="16" t="s">
        <v>32</v>
      </c>
      <c r="L18" s="16" t="s">
        <v>1222</v>
      </c>
      <c r="M18" s="16"/>
      <c r="N18" s="16"/>
      <c r="O18" s="16"/>
      <c r="P18" s="16"/>
      <c r="Q18" s="16">
        <v>1</v>
      </c>
    </row>
    <row r="19" spans="1:18" x14ac:dyDescent="0.25">
      <c r="A19" s="16"/>
      <c r="B19" s="16" t="s">
        <v>26</v>
      </c>
      <c r="C19" s="16" t="s">
        <v>1257</v>
      </c>
      <c r="D19" s="16" t="s">
        <v>1258</v>
      </c>
      <c r="E19" s="16" t="s">
        <v>1259</v>
      </c>
      <c r="F19" s="16" t="s">
        <v>93</v>
      </c>
      <c r="G19" s="17">
        <v>945</v>
      </c>
      <c r="H19" s="17">
        <v>25</v>
      </c>
      <c r="I19" s="17">
        <f t="shared" si="0"/>
        <v>920</v>
      </c>
      <c r="J19" s="16" t="s">
        <v>103</v>
      </c>
      <c r="K19" s="16" t="s">
        <v>32</v>
      </c>
      <c r="L19" s="16" t="s">
        <v>1222</v>
      </c>
      <c r="M19" s="16"/>
      <c r="N19" s="16"/>
      <c r="O19" s="16"/>
      <c r="P19" s="16"/>
      <c r="Q19" s="16">
        <v>1</v>
      </c>
    </row>
    <row r="20" spans="1:18" x14ac:dyDescent="0.25">
      <c r="A20" s="16"/>
      <c r="B20" s="16" t="s">
        <v>26</v>
      </c>
      <c r="C20" s="16" t="s">
        <v>1260</v>
      </c>
      <c r="D20" s="16" t="s">
        <v>1261</v>
      </c>
      <c r="E20" s="16" t="s">
        <v>1262</v>
      </c>
      <c r="F20" s="16" t="s">
        <v>40</v>
      </c>
      <c r="G20" s="17">
        <v>875</v>
      </c>
      <c r="H20" s="17">
        <v>35</v>
      </c>
      <c r="I20" s="17">
        <f t="shared" si="0"/>
        <v>840</v>
      </c>
      <c r="J20" s="16" t="s">
        <v>103</v>
      </c>
      <c r="K20" s="16" t="s">
        <v>32</v>
      </c>
      <c r="L20" s="16" t="s">
        <v>1222</v>
      </c>
      <c r="M20" s="16"/>
      <c r="N20" s="16"/>
      <c r="O20" s="16"/>
      <c r="P20" s="16"/>
      <c r="Q20" s="16">
        <v>1</v>
      </c>
    </row>
    <row r="21" spans="1:18" x14ac:dyDescent="0.25">
      <c r="A21" s="16"/>
      <c r="B21" s="16" t="s">
        <v>26</v>
      </c>
      <c r="C21" s="16" t="s">
        <v>1263</v>
      </c>
      <c r="D21" s="16" t="s">
        <v>1264</v>
      </c>
      <c r="E21" s="16" t="s">
        <v>1265</v>
      </c>
      <c r="F21" s="17">
        <v>1</v>
      </c>
      <c r="G21" s="17">
        <v>795</v>
      </c>
      <c r="H21" s="17">
        <v>25</v>
      </c>
      <c r="I21" s="17">
        <f t="shared" si="0"/>
        <v>770</v>
      </c>
      <c r="J21" s="16" t="s">
        <v>103</v>
      </c>
      <c r="K21" s="16" t="s">
        <v>32</v>
      </c>
      <c r="L21" s="16" t="s">
        <v>1222</v>
      </c>
      <c r="M21" s="16"/>
      <c r="N21" s="16"/>
      <c r="O21" s="16"/>
      <c r="P21" s="16"/>
      <c r="Q21" s="16">
        <v>1</v>
      </c>
    </row>
    <row r="22" spans="1:18" x14ac:dyDescent="0.25">
      <c r="A22" s="16"/>
      <c r="B22" s="16" t="s">
        <v>26</v>
      </c>
      <c r="C22" s="16" t="s">
        <v>353</v>
      </c>
      <c r="D22" s="16" t="s">
        <v>1266</v>
      </c>
      <c r="E22" s="16" t="s">
        <v>355</v>
      </c>
      <c r="F22" s="16" t="s">
        <v>93</v>
      </c>
      <c r="G22" s="17">
        <v>0</v>
      </c>
      <c r="H22" s="17">
        <v>25</v>
      </c>
      <c r="I22" s="17">
        <f t="shared" si="0"/>
        <v>-25</v>
      </c>
      <c r="J22" s="16" t="s">
        <v>103</v>
      </c>
      <c r="K22" s="16" t="s">
        <v>32</v>
      </c>
      <c r="L22" s="16" t="s">
        <v>1222</v>
      </c>
      <c r="M22" s="16"/>
      <c r="N22" s="16"/>
      <c r="O22" s="16"/>
      <c r="P22" s="16"/>
      <c r="Q22" s="16">
        <v>1</v>
      </c>
      <c r="R22" s="10">
        <f>H22</f>
        <v>25</v>
      </c>
    </row>
    <row r="23" spans="1:18" x14ac:dyDescent="0.25">
      <c r="A23" s="16"/>
      <c r="B23" s="16" t="s">
        <v>26</v>
      </c>
      <c r="C23" s="16" t="s">
        <v>1267</v>
      </c>
      <c r="D23" s="16" t="s">
        <v>1268</v>
      </c>
      <c r="E23" s="16" t="s">
        <v>1269</v>
      </c>
      <c r="F23" s="17">
        <v>1</v>
      </c>
      <c r="G23" s="17">
        <v>905</v>
      </c>
      <c r="H23" s="17">
        <v>25</v>
      </c>
      <c r="I23" s="17">
        <f t="shared" si="0"/>
        <v>880</v>
      </c>
      <c r="J23" s="16" t="s">
        <v>103</v>
      </c>
      <c r="K23" s="16" t="s">
        <v>32</v>
      </c>
      <c r="L23" s="16" t="s">
        <v>1222</v>
      </c>
      <c r="M23" s="16"/>
      <c r="N23" s="16"/>
      <c r="O23" s="16"/>
      <c r="P23" s="16"/>
      <c r="Q23" s="16">
        <v>1</v>
      </c>
    </row>
    <row r="24" spans="1:18" x14ac:dyDescent="0.25">
      <c r="A24" s="16"/>
      <c r="B24" s="16" t="s">
        <v>26</v>
      </c>
      <c r="C24" s="16" t="s">
        <v>1270</v>
      </c>
      <c r="D24" s="16" t="s">
        <v>1271</v>
      </c>
      <c r="E24" s="16" t="s">
        <v>1272</v>
      </c>
      <c r="F24" s="16" t="s">
        <v>93</v>
      </c>
      <c r="G24" s="17">
        <v>805</v>
      </c>
      <c r="H24" s="17">
        <v>25</v>
      </c>
      <c r="I24" s="17">
        <f t="shared" si="0"/>
        <v>780</v>
      </c>
      <c r="J24" s="16" t="s">
        <v>103</v>
      </c>
      <c r="K24" s="16" t="s">
        <v>32</v>
      </c>
      <c r="L24" s="16" t="s">
        <v>1222</v>
      </c>
      <c r="M24" s="16"/>
      <c r="N24" s="16"/>
      <c r="O24" s="16"/>
      <c r="P24" s="16"/>
      <c r="Q24" s="16">
        <v>1</v>
      </c>
    </row>
    <row r="26" spans="1:18" x14ac:dyDescent="0.25">
      <c r="D26" s="1">
        <f>COUNTA(D3:D24)</f>
        <v>19</v>
      </c>
      <c r="G26" s="1">
        <f t="shared" ref="G26:Q26" si="1">SUBTOTAL(9,G3:G24)</f>
        <v>22591</v>
      </c>
      <c r="H26" s="1">
        <f t="shared" si="1"/>
        <v>621</v>
      </c>
      <c r="I26" s="1">
        <f t="shared" si="1"/>
        <v>21970</v>
      </c>
      <c r="J26" s="1">
        <f t="shared" si="1"/>
        <v>0</v>
      </c>
      <c r="K26" s="1">
        <f t="shared" si="1"/>
        <v>0</v>
      </c>
      <c r="L26" s="1">
        <f t="shared" si="1"/>
        <v>0</v>
      </c>
      <c r="M26" s="1">
        <f t="shared" si="1"/>
        <v>0</v>
      </c>
      <c r="N26" s="1">
        <f t="shared" si="1"/>
        <v>0</v>
      </c>
      <c r="O26" s="1">
        <f t="shared" si="1"/>
        <v>0</v>
      </c>
      <c r="P26" s="1">
        <f t="shared" si="1"/>
        <v>0</v>
      </c>
      <c r="Q26" s="1">
        <f t="shared" si="1"/>
        <v>22</v>
      </c>
    </row>
    <row r="27" spans="1:18" x14ac:dyDescent="0.25">
      <c r="H27">
        <f>-4*25</f>
        <v>-100</v>
      </c>
    </row>
    <row r="28" spans="1:18" x14ac:dyDescent="0.25">
      <c r="A28" s="1" t="s">
        <v>26</v>
      </c>
      <c r="C28" s="34" t="s">
        <v>144</v>
      </c>
      <c r="D28" s="34"/>
      <c r="E28" s="4" t="s">
        <v>145</v>
      </c>
      <c r="K28" s="11" t="s">
        <v>1221</v>
      </c>
      <c r="L28" s="11" t="s">
        <v>146</v>
      </c>
      <c r="M28" s="11" t="s">
        <v>145</v>
      </c>
      <c r="O28" s="4" t="s">
        <v>147</v>
      </c>
    </row>
    <row r="29" spans="1:18" x14ac:dyDescent="0.25">
      <c r="A29" t="s">
        <v>1222</v>
      </c>
      <c r="B29" s="3" t="s">
        <v>148</v>
      </c>
      <c r="C29" s="35">
        <f>SUMIFS(I$3:I$24,B$3:B$24,A$28,L$3:L$24,A$29)</f>
        <v>21970</v>
      </c>
      <c r="D29" s="35"/>
      <c r="E29" s="3">
        <f>SUMIFS(Q$3:Q$24,B$3:B$24,A$28,L$3:L$24,A$29)</f>
        <v>22</v>
      </c>
      <c r="F29" t="s">
        <v>149</v>
      </c>
      <c r="K29" t="s">
        <v>150</v>
      </c>
      <c r="L29">
        <f>SUMIFS(G$3:G$24,J$3:J$24,K$28)</f>
        <v>1875</v>
      </c>
      <c r="M29">
        <f>SUMIFS(Q$3:Q$24,J$3:J$24,K$28)-INT(COUNTIFS(J$3:J$24,K$28,M$3:M$24,"*gộp*")/2)</f>
        <v>4</v>
      </c>
      <c r="O29" t="s">
        <v>1273</v>
      </c>
      <c r="P29">
        <f>L34</f>
        <v>1775</v>
      </c>
    </row>
    <row r="30" spans="1:18" x14ac:dyDescent="0.25">
      <c r="B30" s="2" t="s">
        <v>152</v>
      </c>
      <c r="C30" s="36">
        <v>0</v>
      </c>
      <c r="D30" s="36"/>
      <c r="K30" t="s">
        <v>153</v>
      </c>
      <c r="L30">
        <f>SUM(H27:H27)</f>
        <v>-100</v>
      </c>
      <c r="M30">
        <f>SUMIFS(Q$3:Q$24,J$3:J$24,K$28)-INT(COUNTIFS(J$3:J$24,K$28,M$3:M$24,"*gộp*")/2)</f>
        <v>4</v>
      </c>
      <c r="O30" t="s">
        <v>103</v>
      </c>
      <c r="P30">
        <f>L42</f>
        <v>12395</v>
      </c>
    </row>
    <row r="31" spans="1:18" x14ac:dyDescent="0.25">
      <c r="B31" s="2" t="s">
        <v>154</v>
      </c>
      <c r="C31" s="36">
        <f>-SUMIFS(I$3:I$24,B$3:B$24,A$28,P$3:P$24,"xx",N$3:N$24,"x")</f>
        <v>0</v>
      </c>
      <c r="D31" s="36"/>
      <c r="E31" s="2">
        <f>SUMIFS(Q$3:Q$24,B$3:B$24,A$28,P$3:P$24,"xx",N$3:N$24,"x")</f>
        <v>0</v>
      </c>
      <c r="K31" t="s">
        <v>155</v>
      </c>
      <c r="O31" t="s">
        <v>32</v>
      </c>
      <c r="P31">
        <f>L50</f>
        <v>7871</v>
      </c>
    </row>
    <row r="32" spans="1:18" x14ac:dyDescent="0.25">
      <c r="B32" s="4" t="s">
        <v>156</v>
      </c>
      <c r="C32" s="34">
        <f>SUBTOTAL(9,C29:C31)</f>
        <v>21970</v>
      </c>
      <c r="D32" s="34"/>
      <c r="E32">
        <f>E29</f>
        <v>22</v>
      </c>
      <c r="K32" s="12" t="s">
        <v>157</v>
      </c>
      <c r="O32" t="s">
        <v>158</v>
      </c>
      <c r="P32">
        <f>-C36</f>
        <v>-21970</v>
      </c>
    </row>
    <row r="33" spans="2:16" x14ac:dyDescent="0.25">
      <c r="B33" s="2" t="s">
        <v>159</v>
      </c>
      <c r="C33" s="32"/>
      <c r="D33" s="32"/>
      <c r="K33" s="2" t="s">
        <v>160</v>
      </c>
      <c r="O33" s="4" t="s">
        <v>161</v>
      </c>
      <c r="P33" s="4">
        <f>SUBTOTAL(9,P29:P32)</f>
        <v>71</v>
      </c>
    </row>
    <row r="34" spans="2:16" x14ac:dyDescent="0.25">
      <c r="B34" s="13" t="s">
        <v>162</v>
      </c>
      <c r="C34" s="32"/>
      <c r="D34" s="32"/>
      <c r="L34" s="14">
        <f>SUBTOTAL(9,L29:L33)</f>
        <v>1775</v>
      </c>
      <c r="M34" s="14">
        <f>M29</f>
        <v>4</v>
      </c>
    </row>
    <row r="36" spans="2:16" x14ac:dyDescent="0.25">
      <c r="B36" s="1" t="s">
        <v>163</v>
      </c>
      <c r="C36" s="33">
        <f>C32+C33+C34</f>
        <v>21970</v>
      </c>
      <c r="D36" s="33"/>
      <c r="E36" s="1" t="s">
        <v>164</v>
      </c>
      <c r="K36" s="11" t="s">
        <v>103</v>
      </c>
      <c r="L36" s="11" t="s">
        <v>146</v>
      </c>
      <c r="M36" s="11" t="s">
        <v>145</v>
      </c>
    </row>
    <row r="37" spans="2:16" x14ac:dyDescent="0.25">
      <c r="K37" t="s">
        <v>150</v>
      </c>
      <c r="L37">
        <f>SUMIFS(G$3:G$24,J$3:J$24,K$36)</f>
        <v>12661</v>
      </c>
      <c r="M37">
        <f>SUMIFS(Q$3:Q$24,J$3:J$24,K$36)-INT(COUNTIFS(J$3:J$24,K$36,M$3:M$24,"*gộp*")/2)</f>
        <v>12</v>
      </c>
    </row>
    <row r="38" spans="2:16" x14ac:dyDescent="0.25">
      <c r="K38" t="s">
        <v>153</v>
      </c>
      <c r="L38">
        <f>-SUMIFS(H$3:H$24,J$3:J$24,K$36)+M38*5</f>
        <v>-266</v>
      </c>
      <c r="M38">
        <f>SUMIFS(Q$3:Q$24,J$3:J$24,K$36)-INT(COUNTIFS(J$3:J$24,K$36,M$3:M$24,"*gộp*")/2)</f>
        <v>12</v>
      </c>
    </row>
    <row r="39" spans="2:16" x14ac:dyDescent="0.25">
      <c r="K39" t="s">
        <v>155</v>
      </c>
    </row>
    <row r="40" spans="2:16" x14ac:dyDescent="0.25">
      <c r="K40" s="12" t="s">
        <v>157</v>
      </c>
    </row>
    <row r="41" spans="2:16" x14ac:dyDescent="0.25">
      <c r="K41" s="2" t="s">
        <v>160</v>
      </c>
    </row>
    <row r="42" spans="2:16" x14ac:dyDescent="0.25">
      <c r="L42" s="14">
        <f>SUBTOTAL(9,L37:L41)</f>
        <v>12395</v>
      </c>
      <c r="M42" s="14">
        <f>M37</f>
        <v>12</v>
      </c>
    </row>
    <row r="44" spans="2:16" x14ac:dyDescent="0.25">
      <c r="K44" s="11" t="s">
        <v>32</v>
      </c>
      <c r="L44" s="11" t="s">
        <v>146</v>
      </c>
      <c r="M44" s="11" t="s">
        <v>145</v>
      </c>
    </row>
    <row r="45" spans="2:16" x14ac:dyDescent="0.25">
      <c r="K45" t="s">
        <v>150</v>
      </c>
      <c r="L45">
        <f>SUMIFS(G$3:G$24,J$3:J$24,K$44)</f>
        <v>8055</v>
      </c>
      <c r="M45">
        <f>SUMIFS(Q$3:Q$24,J$3:J$24,K$44)-INT(COUNTIFS(J$3:J$24,K$44,M$3:M$24,"*gộp*")/2)</f>
        <v>6</v>
      </c>
    </row>
    <row r="46" spans="2:16" x14ac:dyDescent="0.25">
      <c r="K46" t="s">
        <v>153</v>
      </c>
      <c r="L46">
        <f>-SUMIFS(H$3:H$24,J$3:J$24,K$44)+M46*5</f>
        <v>-140</v>
      </c>
      <c r="M46">
        <f>SUMIFS(Q$3:Q$24,J$3:J$24,K$44)-INT(COUNTIFS(J$3:J$24,K$44,M$3:M$24,"*gộp*")/2)</f>
        <v>6</v>
      </c>
    </row>
    <row r="47" spans="2:16" x14ac:dyDescent="0.25">
      <c r="K47" t="s">
        <v>155</v>
      </c>
      <c r="L47">
        <f>-M47*2</f>
        <v>-44</v>
      </c>
      <c r="M47">
        <f>E32-(COUNTIFS(M$3:M$24,"*gộp*")/2)-COUNTIFS(M$3:M$24,"*đơn trả*")-COUNTIFS(M$3:M$24,"*hàng tỉnh*")</f>
        <v>22</v>
      </c>
    </row>
    <row r="48" spans="2:16" x14ac:dyDescent="0.25">
      <c r="K48" s="12" t="s">
        <v>157</v>
      </c>
    </row>
    <row r="49" spans="11:13" x14ac:dyDescent="0.25">
      <c r="K49" s="2" t="s">
        <v>160</v>
      </c>
    </row>
    <row r="50" spans="11:13" x14ac:dyDescent="0.25">
      <c r="L50" s="14">
        <f>SUBTOTAL(9,L45:L49)</f>
        <v>7871</v>
      </c>
      <c r="M50" s="14">
        <f>M45</f>
        <v>6</v>
      </c>
    </row>
  </sheetData>
  <autoFilter ref="A2:P24" xr:uid="{00000000-0009-0000-0000-00000D000000}">
    <sortState xmlns:xlrd2="http://schemas.microsoft.com/office/spreadsheetml/2017/richdata2" ref="A3:P24">
      <sortCondition ref="J2:J24"/>
    </sortState>
  </autoFilter>
  <mergeCells count="8">
    <mergeCell ref="C33:D33"/>
    <mergeCell ref="C34:D34"/>
    <mergeCell ref="C36:D36"/>
    <mergeCell ref="C28:D28"/>
    <mergeCell ref="C29:D29"/>
    <mergeCell ref="C30:D30"/>
    <mergeCell ref="C31:D31"/>
    <mergeCell ref="C32:D32"/>
  </mergeCells>
  <pageMargins left="0.75" right="0.75" top="0.75" bottom="0.5" header="0.5" footer="0.75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Q64"/>
  <sheetViews>
    <sheetView topLeftCell="A13" workbookViewId="0"/>
  </sheetViews>
  <sheetFormatPr defaultRowHeight="15" x14ac:dyDescent="0.25"/>
  <cols>
    <col min="1" max="1" width="12.7109375" customWidth="1"/>
    <col min="2" max="2" width="17.7109375" customWidth="1"/>
    <col min="3" max="3" width="33.140625" customWidth="1"/>
    <col min="4" max="4" width="9.85546875" customWidth="1"/>
    <col min="5" max="5" width="75.5703125" customWidth="1"/>
    <col min="6" max="6" width="10.855468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0.42578125" customWidth="1"/>
    <col min="13" max="13" width="8.5703125" customWidth="1"/>
    <col min="14" max="14" width="9.7109375" customWidth="1"/>
    <col min="15" max="15" width="10.42578125" customWidth="1"/>
    <col min="16" max="16" width="7" bestFit="1" customWidth="1"/>
  </cols>
  <sheetData>
    <row r="2" spans="1:17" x14ac:dyDescent="0.25">
      <c r="A2" s="15" t="s">
        <v>10</v>
      </c>
      <c r="B2" s="15" t="s">
        <v>11</v>
      </c>
      <c r="C2" s="15" t="s">
        <v>12</v>
      </c>
      <c r="D2" s="15" t="s">
        <v>13</v>
      </c>
      <c r="E2" s="15" t="s">
        <v>14</v>
      </c>
      <c r="F2" s="15" t="s">
        <v>15</v>
      </c>
      <c r="G2" s="15" t="s">
        <v>16</v>
      </c>
      <c r="H2" s="15" t="s">
        <v>17</v>
      </c>
      <c r="I2" s="15" t="s">
        <v>18</v>
      </c>
      <c r="J2" s="15" t="s">
        <v>19</v>
      </c>
      <c r="K2" s="15" t="s">
        <v>20</v>
      </c>
      <c r="L2" s="15" t="s">
        <v>21</v>
      </c>
      <c r="M2" s="15" t="s">
        <v>22</v>
      </c>
      <c r="N2" s="15" t="s">
        <v>23</v>
      </c>
      <c r="O2" s="15" t="s">
        <v>24</v>
      </c>
      <c r="P2" s="15" t="s">
        <v>25</v>
      </c>
      <c r="Q2" s="16"/>
    </row>
    <row r="3" spans="1:17" x14ac:dyDescent="0.25">
      <c r="A3" s="16"/>
      <c r="B3" s="16" t="s">
        <v>26</v>
      </c>
      <c r="C3" s="16" t="s">
        <v>1274</v>
      </c>
      <c r="D3" s="16" t="s">
        <v>1275</v>
      </c>
      <c r="E3" s="16" t="s">
        <v>1276</v>
      </c>
      <c r="F3" s="16" t="s">
        <v>40</v>
      </c>
      <c r="G3" s="17">
        <v>905</v>
      </c>
      <c r="H3" s="17">
        <v>35</v>
      </c>
      <c r="I3" s="17">
        <f t="shared" ref="I3:I38" si="0">G3-H3</f>
        <v>870</v>
      </c>
      <c r="J3" s="16" t="s">
        <v>1277</v>
      </c>
      <c r="K3" s="16" t="s">
        <v>32</v>
      </c>
      <c r="L3" s="16" t="s">
        <v>1278</v>
      </c>
      <c r="M3" s="16"/>
      <c r="N3" s="16"/>
      <c r="O3" s="16"/>
      <c r="P3" s="16"/>
      <c r="Q3" s="16">
        <v>1</v>
      </c>
    </row>
    <row r="4" spans="1:17" x14ac:dyDescent="0.25">
      <c r="A4" s="16"/>
      <c r="B4" s="16" t="s">
        <v>26</v>
      </c>
      <c r="C4" s="16" t="s">
        <v>1279</v>
      </c>
      <c r="D4" s="16" t="s">
        <v>1280</v>
      </c>
      <c r="E4" s="16" t="s">
        <v>1281</v>
      </c>
      <c r="F4" s="16" t="s">
        <v>51</v>
      </c>
      <c r="G4" s="17">
        <v>720</v>
      </c>
      <c r="H4" s="17">
        <v>30</v>
      </c>
      <c r="I4" s="17">
        <f t="shared" si="0"/>
        <v>690</v>
      </c>
      <c r="J4" s="16" t="s">
        <v>1277</v>
      </c>
      <c r="K4" s="16" t="s">
        <v>32</v>
      </c>
      <c r="L4" s="16" t="s">
        <v>1278</v>
      </c>
      <c r="M4" s="16"/>
      <c r="N4" s="16"/>
      <c r="O4" s="16"/>
      <c r="P4" s="16"/>
      <c r="Q4" s="16">
        <v>1</v>
      </c>
    </row>
    <row r="5" spans="1:17" x14ac:dyDescent="0.25">
      <c r="A5" s="16"/>
      <c r="B5" s="16" t="s">
        <v>26</v>
      </c>
      <c r="C5" s="16" t="s">
        <v>1282</v>
      </c>
      <c r="D5" s="16" t="s">
        <v>1283</v>
      </c>
      <c r="E5" s="16" t="s">
        <v>624</v>
      </c>
      <c r="F5" s="17">
        <v>6</v>
      </c>
      <c r="G5" s="17">
        <v>0</v>
      </c>
      <c r="H5" s="17">
        <v>25</v>
      </c>
      <c r="I5" s="17">
        <f t="shared" si="0"/>
        <v>-25</v>
      </c>
      <c r="J5" s="16" t="s">
        <v>1277</v>
      </c>
      <c r="K5" s="16" t="s">
        <v>32</v>
      </c>
      <c r="L5" s="16" t="s">
        <v>1278</v>
      </c>
      <c r="M5" s="16"/>
      <c r="N5" s="16"/>
      <c r="O5" s="16"/>
      <c r="P5" s="16"/>
      <c r="Q5" s="16">
        <v>1</v>
      </c>
    </row>
    <row r="6" spans="1:17" x14ac:dyDescent="0.25">
      <c r="A6" s="16"/>
      <c r="B6" s="16" t="s">
        <v>26</v>
      </c>
      <c r="C6" s="16" t="s">
        <v>1284</v>
      </c>
      <c r="D6" s="16" t="s">
        <v>1285</v>
      </c>
      <c r="E6" s="16" t="s">
        <v>1286</v>
      </c>
      <c r="F6" s="17">
        <v>9</v>
      </c>
      <c r="G6" s="17">
        <v>810</v>
      </c>
      <c r="H6" s="17">
        <v>30</v>
      </c>
      <c r="I6" s="17">
        <f t="shared" si="0"/>
        <v>780</v>
      </c>
      <c r="J6" s="16" t="s">
        <v>1277</v>
      </c>
      <c r="K6" s="16" t="s">
        <v>32</v>
      </c>
      <c r="L6" s="16" t="s">
        <v>1278</v>
      </c>
      <c r="M6" s="16"/>
      <c r="N6" s="16"/>
      <c r="O6" s="16"/>
      <c r="P6" s="16"/>
      <c r="Q6" s="16">
        <v>1</v>
      </c>
    </row>
    <row r="7" spans="1:17" x14ac:dyDescent="0.25">
      <c r="A7" s="16"/>
      <c r="B7" s="16" t="s">
        <v>26</v>
      </c>
      <c r="C7" s="16" t="s">
        <v>1287</v>
      </c>
      <c r="D7" s="16" t="s">
        <v>1288</v>
      </c>
      <c r="E7" s="16" t="s">
        <v>1289</v>
      </c>
      <c r="F7" s="17">
        <v>12</v>
      </c>
      <c r="G7" s="17">
        <v>0</v>
      </c>
      <c r="H7" s="17">
        <v>30</v>
      </c>
      <c r="I7" s="17">
        <f t="shared" si="0"/>
        <v>-30</v>
      </c>
      <c r="J7" s="16" t="s">
        <v>1277</v>
      </c>
      <c r="K7" s="16" t="s">
        <v>32</v>
      </c>
      <c r="L7" s="16" t="s">
        <v>1278</v>
      </c>
      <c r="M7" s="16"/>
      <c r="N7" s="16"/>
      <c r="O7" s="16"/>
      <c r="P7" s="16"/>
      <c r="Q7" s="16">
        <v>1</v>
      </c>
    </row>
    <row r="8" spans="1:17" x14ac:dyDescent="0.25">
      <c r="A8" s="16"/>
      <c r="B8" s="16" t="s">
        <v>26</v>
      </c>
      <c r="C8" s="16" t="s">
        <v>1290</v>
      </c>
      <c r="D8" s="16" t="s">
        <v>1291</v>
      </c>
      <c r="E8" s="16" t="s">
        <v>1292</v>
      </c>
      <c r="F8" s="17">
        <v>9</v>
      </c>
      <c r="G8" s="17">
        <v>720</v>
      </c>
      <c r="H8" s="17">
        <v>30</v>
      </c>
      <c r="I8" s="17">
        <f t="shared" si="0"/>
        <v>690</v>
      </c>
      <c r="J8" s="16" t="s">
        <v>1277</v>
      </c>
      <c r="K8" s="16" t="s">
        <v>32</v>
      </c>
      <c r="L8" s="16" t="s">
        <v>1278</v>
      </c>
      <c r="M8" s="16"/>
      <c r="N8" s="16"/>
      <c r="O8" s="16"/>
      <c r="P8" s="16"/>
      <c r="Q8" s="16">
        <v>1</v>
      </c>
    </row>
    <row r="9" spans="1:17" x14ac:dyDescent="0.25">
      <c r="A9" s="16"/>
      <c r="B9" s="16" t="s">
        <v>26</v>
      </c>
      <c r="C9" s="16" t="s">
        <v>1293</v>
      </c>
      <c r="D9" s="16" t="s">
        <v>1294</v>
      </c>
      <c r="E9" s="16" t="s">
        <v>1295</v>
      </c>
      <c r="F9" s="17">
        <v>6</v>
      </c>
      <c r="G9" s="17">
        <v>805</v>
      </c>
      <c r="H9" s="17">
        <v>25</v>
      </c>
      <c r="I9" s="17">
        <f t="shared" si="0"/>
        <v>780</v>
      </c>
      <c r="J9" s="16" t="s">
        <v>1277</v>
      </c>
      <c r="K9" s="16" t="s">
        <v>32</v>
      </c>
      <c r="L9" s="16" t="s">
        <v>1278</v>
      </c>
      <c r="M9" s="16"/>
      <c r="N9" s="16"/>
      <c r="O9" s="16"/>
      <c r="P9" s="16"/>
      <c r="Q9" s="16">
        <v>1</v>
      </c>
    </row>
    <row r="10" spans="1:17" x14ac:dyDescent="0.25">
      <c r="A10" s="16"/>
      <c r="B10" s="16" t="s">
        <v>26</v>
      </c>
      <c r="C10" s="16" t="s">
        <v>1296</v>
      </c>
      <c r="D10" s="16" t="s">
        <v>1297</v>
      </c>
      <c r="E10" s="16" t="s">
        <v>1298</v>
      </c>
      <c r="F10" s="16" t="s">
        <v>82</v>
      </c>
      <c r="G10" s="17">
        <v>805</v>
      </c>
      <c r="H10" s="17">
        <v>25</v>
      </c>
      <c r="I10" s="17">
        <f t="shared" si="0"/>
        <v>780</v>
      </c>
      <c r="J10" s="16" t="s">
        <v>32</v>
      </c>
      <c r="K10" s="16" t="s">
        <v>32</v>
      </c>
      <c r="L10" s="16" t="s">
        <v>1278</v>
      </c>
      <c r="M10" s="16"/>
      <c r="N10" s="16"/>
      <c r="O10" s="16"/>
      <c r="P10" s="16"/>
      <c r="Q10" s="16">
        <v>1</v>
      </c>
    </row>
    <row r="11" spans="1:17" x14ac:dyDescent="0.25">
      <c r="A11" s="16"/>
      <c r="B11" s="16" t="s">
        <v>26</v>
      </c>
      <c r="C11" s="16" t="s">
        <v>1299</v>
      </c>
      <c r="D11" s="16" t="s">
        <v>1300</v>
      </c>
      <c r="E11" s="16" t="s">
        <v>1301</v>
      </c>
      <c r="F11" s="17">
        <v>12</v>
      </c>
      <c r="G11" s="17">
        <v>0</v>
      </c>
      <c r="H11" s="17">
        <v>35</v>
      </c>
      <c r="I11" s="17">
        <f t="shared" si="0"/>
        <v>-35</v>
      </c>
      <c r="J11" s="16" t="s">
        <v>32</v>
      </c>
      <c r="K11" s="16" t="s">
        <v>32</v>
      </c>
      <c r="L11" s="16" t="s">
        <v>1278</v>
      </c>
      <c r="M11" s="18" t="s">
        <v>288</v>
      </c>
      <c r="N11" s="16"/>
      <c r="O11" s="16"/>
      <c r="P11" s="16"/>
      <c r="Q11" s="16">
        <v>1</v>
      </c>
    </row>
    <row r="12" spans="1:17" x14ac:dyDescent="0.25">
      <c r="A12" s="16"/>
      <c r="B12" s="16" t="s">
        <v>26</v>
      </c>
      <c r="C12" s="16" t="s">
        <v>1299</v>
      </c>
      <c r="D12" s="16" t="s">
        <v>1300</v>
      </c>
      <c r="E12" s="16" t="s">
        <v>1301</v>
      </c>
      <c r="F12" s="17">
        <v>12</v>
      </c>
      <c r="G12" s="17">
        <v>0</v>
      </c>
      <c r="H12" s="17">
        <v>0</v>
      </c>
      <c r="I12" s="17">
        <f t="shared" si="0"/>
        <v>0</v>
      </c>
      <c r="J12" s="16" t="s">
        <v>32</v>
      </c>
      <c r="K12" s="16" t="s">
        <v>32</v>
      </c>
      <c r="L12" s="16" t="s">
        <v>1278</v>
      </c>
      <c r="M12" s="18" t="s">
        <v>288</v>
      </c>
      <c r="N12" s="16"/>
      <c r="O12" s="16"/>
      <c r="P12" s="16"/>
      <c r="Q12" s="16">
        <v>1</v>
      </c>
    </row>
    <row r="13" spans="1:17" x14ac:dyDescent="0.25">
      <c r="A13" s="16"/>
      <c r="B13" s="16" t="s">
        <v>26</v>
      </c>
      <c r="C13" s="16" t="s">
        <v>1302</v>
      </c>
      <c r="D13" s="16" t="s">
        <v>1303</v>
      </c>
      <c r="E13" s="16" t="s">
        <v>1304</v>
      </c>
      <c r="F13" s="16" t="s">
        <v>93</v>
      </c>
      <c r="G13" s="17">
        <v>845</v>
      </c>
      <c r="H13" s="17">
        <v>25</v>
      </c>
      <c r="I13" s="17">
        <f t="shared" si="0"/>
        <v>820</v>
      </c>
      <c r="J13" s="16" t="s">
        <v>32</v>
      </c>
      <c r="K13" s="16" t="s">
        <v>32</v>
      </c>
      <c r="L13" s="16" t="s">
        <v>1278</v>
      </c>
      <c r="M13" s="16"/>
      <c r="N13" s="16"/>
      <c r="O13" s="16"/>
      <c r="P13" s="16"/>
      <c r="Q13" s="16">
        <v>1</v>
      </c>
    </row>
    <row r="14" spans="1:17" x14ac:dyDescent="0.25">
      <c r="A14" s="16"/>
      <c r="B14" s="16" t="s">
        <v>26</v>
      </c>
      <c r="C14" s="16" t="s">
        <v>1305</v>
      </c>
      <c r="D14" s="16" t="s">
        <v>1306</v>
      </c>
      <c r="E14" s="16" t="s">
        <v>1307</v>
      </c>
      <c r="F14" s="16" t="s">
        <v>75</v>
      </c>
      <c r="G14" s="17">
        <v>710</v>
      </c>
      <c r="H14" s="17">
        <v>20</v>
      </c>
      <c r="I14" s="17">
        <f t="shared" si="0"/>
        <v>690</v>
      </c>
      <c r="J14" s="16" t="s">
        <v>32</v>
      </c>
      <c r="K14" s="16" t="s">
        <v>32</v>
      </c>
      <c r="L14" s="16" t="s">
        <v>1278</v>
      </c>
      <c r="M14" s="16"/>
      <c r="N14" s="16"/>
      <c r="O14" s="16"/>
      <c r="P14" s="16"/>
      <c r="Q14" s="16">
        <v>1</v>
      </c>
    </row>
    <row r="15" spans="1:17" x14ac:dyDescent="0.25">
      <c r="A15" s="16"/>
      <c r="B15" s="16" t="s">
        <v>26</v>
      </c>
      <c r="C15" s="16" t="s">
        <v>1308</v>
      </c>
      <c r="D15" s="16" t="s">
        <v>1309</v>
      </c>
      <c r="E15" s="16" t="s">
        <v>1310</v>
      </c>
      <c r="F15" s="17">
        <v>2</v>
      </c>
      <c r="G15" s="17">
        <v>720</v>
      </c>
      <c r="H15" s="17">
        <v>30</v>
      </c>
      <c r="I15" s="17">
        <f t="shared" si="0"/>
        <v>690</v>
      </c>
      <c r="J15" s="16" t="s">
        <v>32</v>
      </c>
      <c r="K15" s="16" t="s">
        <v>32</v>
      </c>
      <c r="L15" s="16" t="s">
        <v>1278</v>
      </c>
      <c r="M15" s="16"/>
      <c r="N15" s="16"/>
      <c r="O15" s="16"/>
      <c r="P15" s="16"/>
      <c r="Q15" s="16">
        <v>1</v>
      </c>
    </row>
    <row r="16" spans="1:17" x14ac:dyDescent="0.25">
      <c r="A16" s="16"/>
      <c r="B16" s="16" t="s">
        <v>26</v>
      </c>
      <c r="C16" s="16" t="s">
        <v>1311</v>
      </c>
      <c r="D16" s="16" t="s">
        <v>1312</v>
      </c>
      <c r="E16" s="16" t="s">
        <v>1313</v>
      </c>
      <c r="F16" s="16" t="s">
        <v>82</v>
      </c>
      <c r="G16" s="17">
        <v>805</v>
      </c>
      <c r="H16" s="17">
        <v>25</v>
      </c>
      <c r="I16" s="17">
        <f t="shared" si="0"/>
        <v>780</v>
      </c>
      <c r="J16" s="16" t="s">
        <v>32</v>
      </c>
      <c r="K16" s="16" t="s">
        <v>32</v>
      </c>
      <c r="L16" s="16" t="s">
        <v>1278</v>
      </c>
      <c r="M16" s="16"/>
      <c r="N16" s="16"/>
      <c r="O16" s="16"/>
      <c r="P16" s="16"/>
      <c r="Q16" s="16">
        <v>1</v>
      </c>
    </row>
    <row r="17" spans="1:17" x14ac:dyDescent="0.25">
      <c r="A17" s="16" t="s">
        <v>141</v>
      </c>
      <c r="B17" s="16" t="s">
        <v>26</v>
      </c>
      <c r="C17" s="16" t="s">
        <v>204</v>
      </c>
      <c r="D17" s="16"/>
      <c r="E17" s="16" t="s">
        <v>205</v>
      </c>
      <c r="F17" s="16" t="s">
        <v>82</v>
      </c>
      <c r="G17" s="17">
        <v>5430</v>
      </c>
      <c r="H17" s="17">
        <v>50</v>
      </c>
      <c r="I17" s="17">
        <f t="shared" si="0"/>
        <v>5380</v>
      </c>
      <c r="J17" s="16" t="s">
        <v>32</v>
      </c>
      <c r="K17" s="16" t="s">
        <v>32</v>
      </c>
      <c r="L17" s="16" t="s">
        <v>1278</v>
      </c>
      <c r="M17" s="16"/>
      <c r="N17" s="16"/>
      <c r="O17" s="16"/>
      <c r="P17" s="16"/>
      <c r="Q17" s="16">
        <v>1</v>
      </c>
    </row>
    <row r="18" spans="1:17" x14ac:dyDescent="0.25">
      <c r="A18" s="16" t="s">
        <v>141</v>
      </c>
      <c r="B18" s="16" t="s">
        <v>26</v>
      </c>
      <c r="C18" s="16" t="s">
        <v>551</v>
      </c>
      <c r="D18" s="16"/>
      <c r="E18" s="16" t="s">
        <v>994</v>
      </c>
      <c r="F18" s="16" t="s">
        <v>82</v>
      </c>
      <c r="G18" s="17">
        <v>0</v>
      </c>
      <c r="H18" s="17">
        <v>30</v>
      </c>
      <c r="I18" s="17">
        <f t="shared" si="0"/>
        <v>-30</v>
      </c>
      <c r="J18" s="16" t="s">
        <v>32</v>
      </c>
      <c r="K18" s="16" t="s">
        <v>32</v>
      </c>
      <c r="L18" s="16" t="s">
        <v>1278</v>
      </c>
      <c r="M18" s="16"/>
      <c r="N18" s="16"/>
      <c r="O18" s="16"/>
      <c r="P18" s="16"/>
      <c r="Q18" s="16">
        <v>1</v>
      </c>
    </row>
    <row r="19" spans="1:17" x14ac:dyDescent="0.25">
      <c r="A19" s="16"/>
      <c r="B19" s="16" t="s">
        <v>26</v>
      </c>
      <c r="C19" s="16" t="s">
        <v>1314</v>
      </c>
      <c r="D19" s="16" t="s">
        <v>1315</v>
      </c>
      <c r="E19" s="16" t="s">
        <v>1316</v>
      </c>
      <c r="F19" s="16" t="s">
        <v>40</v>
      </c>
      <c r="G19" s="17">
        <v>1215</v>
      </c>
      <c r="H19" s="17">
        <v>35</v>
      </c>
      <c r="I19" s="17">
        <f t="shared" si="0"/>
        <v>1180</v>
      </c>
      <c r="J19" s="16" t="s">
        <v>103</v>
      </c>
      <c r="K19" s="16" t="s">
        <v>32</v>
      </c>
      <c r="L19" s="16" t="s">
        <v>1278</v>
      </c>
      <c r="M19" s="16"/>
      <c r="N19" s="16"/>
      <c r="O19" s="16"/>
      <c r="P19" s="16"/>
      <c r="Q19" s="16">
        <v>1</v>
      </c>
    </row>
    <row r="20" spans="1:17" x14ac:dyDescent="0.25">
      <c r="A20" s="16"/>
      <c r="B20" s="16" t="s">
        <v>26</v>
      </c>
      <c r="C20" s="16" t="s">
        <v>367</v>
      </c>
      <c r="D20" s="16" t="s">
        <v>1317</v>
      </c>
      <c r="E20" s="16" t="s">
        <v>1318</v>
      </c>
      <c r="F20" s="17">
        <v>10</v>
      </c>
      <c r="G20" s="17">
        <v>0</v>
      </c>
      <c r="H20" s="17">
        <v>25</v>
      </c>
      <c r="I20" s="17">
        <f t="shared" si="0"/>
        <v>-25</v>
      </c>
      <c r="J20" s="16" t="s">
        <v>103</v>
      </c>
      <c r="K20" s="16" t="s">
        <v>32</v>
      </c>
      <c r="L20" s="16" t="s">
        <v>1278</v>
      </c>
      <c r="M20" s="16"/>
      <c r="N20" s="16"/>
      <c r="O20" s="16"/>
      <c r="P20" s="16"/>
      <c r="Q20" s="16">
        <v>1</v>
      </c>
    </row>
    <row r="21" spans="1:17" x14ac:dyDescent="0.25">
      <c r="A21" s="16"/>
      <c r="B21" s="16" t="s">
        <v>26</v>
      </c>
      <c r="C21" s="16" t="s">
        <v>855</v>
      </c>
      <c r="D21" s="16" t="s">
        <v>1319</v>
      </c>
      <c r="E21" s="16" t="s">
        <v>1320</v>
      </c>
      <c r="F21" s="16" t="s">
        <v>93</v>
      </c>
      <c r="G21" s="17">
        <v>805</v>
      </c>
      <c r="H21" s="17">
        <v>25</v>
      </c>
      <c r="I21" s="17">
        <f t="shared" si="0"/>
        <v>780</v>
      </c>
      <c r="J21" s="16" t="s">
        <v>103</v>
      </c>
      <c r="K21" s="16" t="s">
        <v>32</v>
      </c>
      <c r="L21" s="16" t="s">
        <v>1278</v>
      </c>
      <c r="M21" s="16"/>
      <c r="N21" s="16"/>
      <c r="O21" s="16"/>
      <c r="P21" s="16"/>
      <c r="Q21" s="16">
        <v>1</v>
      </c>
    </row>
    <row r="22" spans="1:17" x14ac:dyDescent="0.25">
      <c r="A22" s="16"/>
      <c r="B22" s="16" t="s">
        <v>26</v>
      </c>
      <c r="C22" s="16" t="s">
        <v>1321</v>
      </c>
      <c r="D22" s="16" t="s">
        <v>1322</v>
      </c>
      <c r="E22" s="16" t="s">
        <v>1323</v>
      </c>
      <c r="F22" s="17">
        <v>1</v>
      </c>
      <c r="G22" s="17">
        <v>905</v>
      </c>
      <c r="H22" s="17">
        <v>25</v>
      </c>
      <c r="I22" s="17">
        <f t="shared" si="0"/>
        <v>880</v>
      </c>
      <c r="J22" s="16" t="s">
        <v>103</v>
      </c>
      <c r="K22" s="16" t="s">
        <v>32</v>
      </c>
      <c r="L22" s="16" t="s">
        <v>1278</v>
      </c>
      <c r="M22" s="16"/>
      <c r="N22" s="16"/>
      <c r="O22" s="16"/>
      <c r="P22" s="16"/>
      <c r="Q22" s="16">
        <v>1</v>
      </c>
    </row>
    <row r="23" spans="1:17" x14ac:dyDescent="0.25">
      <c r="A23" s="16"/>
      <c r="B23" s="16" t="s">
        <v>26</v>
      </c>
      <c r="C23" s="16" t="s">
        <v>1324</v>
      </c>
      <c r="D23" s="16" t="s">
        <v>1325</v>
      </c>
      <c r="E23" s="16" t="s">
        <v>1326</v>
      </c>
      <c r="F23" s="17">
        <v>4</v>
      </c>
      <c r="G23" s="17">
        <v>0</v>
      </c>
      <c r="H23" s="17">
        <v>25</v>
      </c>
      <c r="I23" s="17">
        <f t="shared" si="0"/>
        <v>-25</v>
      </c>
      <c r="J23" s="16" t="s">
        <v>103</v>
      </c>
      <c r="K23" s="16" t="s">
        <v>32</v>
      </c>
      <c r="L23" s="16" t="s">
        <v>1278</v>
      </c>
      <c r="M23" s="16"/>
      <c r="N23" s="16"/>
      <c r="O23" s="16"/>
      <c r="P23" s="16"/>
      <c r="Q23" s="16">
        <v>1</v>
      </c>
    </row>
    <row r="24" spans="1:17" x14ac:dyDescent="0.25">
      <c r="A24" s="16"/>
      <c r="B24" s="16" t="s">
        <v>26</v>
      </c>
      <c r="C24" s="16" t="s">
        <v>777</v>
      </c>
      <c r="D24" s="16" t="s">
        <v>1327</v>
      </c>
      <c r="E24" s="16" t="s">
        <v>779</v>
      </c>
      <c r="F24" s="16" t="s">
        <v>243</v>
      </c>
      <c r="G24" s="17">
        <v>825</v>
      </c>
      <c r="H24" s="17">
        <v>35</v>
      </c>
      <c r="I24" s="17">
        <f t="shared" si="0"/>
        <v>790</v>
      </c>
      <c r="J24" s="16" t="s">
        <v>103</v>
      </c>
      <c r="K24" s="16" t="s">
        <v>32</v>
      </c>
      <c r="L24" s="16" t="s">
        <v>1278</v>
      </c>
      <c r="M24" s="16"/>
      <c r="N24" s="16"/>
      <c r="O24" s="16"/>
      <c r="P24" s="16"/>
      <c r="Q24" s="16">
        <v>1</v>
      </c>
    </row>
    <row r="25" spans="1:17" x14ac:dyDescent="0.25">
      <c r="A25" s="16"/>
      <c r="B25" s="16" t="s">
        <v>26</v>
      </c>
      <c r="C25" s="16" t="s">
        <v>1328</v>
      </c>
      <c r="D25" s="16" t="s">
        <v>1329</v>
      </c>
      <c r="E25" s="16" t="s">
        <v>1330</v>
      </c>
      <c r="F25" s="17">
        <v>7</v>
      </c>
      <c r="G25" s="17">
        <v>550</v>
      </c>
      <c r="H25" s="17">
        <v>30</v>
      </c>
      <c r="I25" s="17">
        <f t="shared" si="0"/>
        <v>520</v>
      </c>
      <c r="J25" s="16" t="s">
        <v>103</v>
      </c>
      <c r="K25" s="16" t="s">
        <v>32</v>
      </c>
      <c r="L25" s="16" t="s">
        <v>1278</v>
      </c>
      <c r="M25" s="16"/>
      <c r="N25" s="16"/>
      <c r="O25" s="16"/>
      <c r="P25" s="16"/>
      <c r="Q25" s="16">
        <v>1</v>
      </c>
    </row>
    <row r="26" spans="1:17" x14ac:dyDescent="0.25">
      <c r="A26" s="16"/>
      <c r="B26" s="16" t="s">
        <v>26</v>
      </c>
      <c r="C26" s="16" t="s">
        <v>1331</v>
      </c>
      <c r="D26" s="16" t="s">
        <v>1332</v>
      </c>
      <c r="E26" s="16" t="s">
        <v>1333</v>
      </c>
      <c r="F26" s="17">
        <v>1</v>
      </c>
      <c r="G26" s="17">
        <v>20</v>
      </c>
      <c r="H26" s="17">
        <v>25</v>
      </c>
      <c r="I26" s="17">
        <f t="shared" si="0"/>
        <v>-5</v>
      </c>
      <c r="J26" s="16" t="s">
        <v>103</v>
      </c>
      <c r="K26" s="16" t="s">
        <v>32</v>
      </c>
      <c r="L26" s="16" t="s">
        <v>1278</v>
      </c>
      <c r="M26" s="16"/>
      <c r="N26" s="16"/>
      <c r="O26" s="16"/>
      <c r="P26" s="16"/>
      <c r="Q26" s="16">
        <v>1</v>
      </c>
    </row>
    <row r="27" spans="1:17" x14ac:dyDescent="0.25">
      <c r="A27" s="16"/>
      <c r="B27" s="16" t="s">
        <v>26</v>
      </c>
      <c r="C27" s="16" t="s">
        <v>1334</v>
      </c>
      <c r="D27" s="16" t="s">
        <v>1335</v>
      </c>
      <c r="E27" s="16" t="s">
        <v>1336</v>
      </c>
      <c r="F27" s="17">
        <v>4</v>
      </c>
      <c r="G27" s="17">
        <v>805</v>
      </c>
      <c r="H27" s="17">
        <v>25</v>
      </c>
      <c r="I27" s="17">
        <f t="shared" si="0"/>
        <v>780</v>
      </c>
      <c r="J27" s="16" t="s">
        <v>103</v>
      </c>
      <c r="K27" s="16" t="s">
        <v>32</v>
      </c>
      <c r="L27" s="16" t="s">
        <v>1278</v>
      </c>
      <c r="M27" s="16"/>
      <c r="N27" s="16"/>
      <c r="O27" s="16"/>
      <c r="P27" s="16"/>
      <c r="Q27" s="16">
        <v>1</v>
      </c>
    </row>
    <row r="28" spans="1:17" x14ac:dyDescent="0.25">
      <c r="A28" s="16"/>
      <c r="B28" s="16" t="s">
        <v>26</v>
      </c>
      <c r="C28" s="16" t="s">
        <v>700</v>
      </c>
      <c r="D28" s="16" t="s">
        <v>1337</v>
      </c>
      <c r="E28" s="16" t="s">
        <v>702</v>
      </c>
      <c r="F28" s="17">
        <v>10</v>
      </c>
      <c r="G28" s="17">
        <v>805</v>
      </c>
      <c r="H28" s="17">
        <v>25</v>
      </c>
      <c r="I28" s="17">
        <f t="shared" si="0"/>
        <v>780</v>
      </c>
      <c r="J28" s="16" t="s">
        <v>103</v>
      </c>
      <c r="K28" s="16" t="s">
        <v>32</v>
      </c>
      <c r="L28" s="16" t="s">
        <v>1278</v>
      </c>
      <c r="M28" s="16"/>
      <c r="N28" s="16"/>
      <c r="O28" s="16"/>
      <c r="P28" s="16"/>
      <c r="Q28" s="16">
        <v>1</v>
      </c>
    </row>
    <row r="29" spans="1:17" x14ac:dyDescent="0.25">
      <c r="A29" s="16"/>
      <c r="B29" s="16" t="s">
        <v>26</v>
      </c>
      <c r="C29" s="16" t="s">
        <v>1338</v>
      </c>
      <c r="D29" s="16" t="s">
        <v>1339</v>
      </c>
      <c r="E29" s="16" t="s">
        <v>1340</v>
      </c>
      <c r="F29" s="16" t="s">
        <v>93</v>
      </c>
      <c r="G29" s="17">
        <v>695</v>
      </c>
      <c r="H29" s="17">
        <v>25</v>
      </c>
      <c r="I29" s="17">
        <f t="shared" si="0"/>
        <v>670</v>
      </c>
      <c r="J29" s="16" t="s">
        <v>103</v>
      </c>
      <c r="K29" s="16" t="s">
        <v>32</v>
      </c>
      <c r="L29" s="16" t="s">
        <v>1278</v>
      </c>
      <c r="M29" s="16"/>
      <c r="N29" s="16"/>
      <c r="O29" s="16"/>
      <c r="P29" s="16"/>
      <c r="Q29" s="16">
        <v>1</v>
      </c>
    </row>
    <row r="30" spans="1:17" x14ac:dyDescent="0.25">
      <c r="A30" s="16"/>
      <c r="B30" s="16" t="s">
        <v>26</v>
      </c>
      <c r="C30" s="16" t="s">
        <v>1341</v>
      </c>
      <c r="D30" s="16" t="s">
        <v>1342</v>
      </c>
      <c r="E30" s="16" t="s">
        <v>1343</v>
      </c>
      <c r="F30" s="17">
        <v>1</v>
      </c>
      <c r="G30" s="17">
        <v>0</v>
      </c>
      <c r="H30" s="17">
        <v>25</v>
      </c>
      <c r="I30" s="17">
        <f t="shared" si="0"/>
        <v>-25</v>
      </c>
      <c r="J30" s="16" t="s">
        <v>103</v>
      </c>
      <c r="K30" s="16" t="s">
        <v>32</v>
      </c>
      <c r="L30" s="16" t="s">
        <v>1278</v>
      </c>
      <c r="M30" s="16"/>
      <c r="N30" s="16"/>
      <c r="O30" s="16"/>
      <c r="P30" s="16"/>
      <c r="Q30" s="16">
        <v>1</v>
      </c>
    </row>
    <row r="31" spans="1:17" x14ac:dyDescent="0.25">
      <c r="A31" s="16"/>
      <c r="B31" s="16" t="s">
        <v>26</v>
      </c>
      <c r="C31" s="16" t="s">
        <v>350</v>
      </c>
      <c r="D31" s="16" t="s">
        <v>1344</v>
      </c>
      <c r="E31" s="16" t="s">
        <v>352</v>
      </c>
      <c r="F31" s="17">
        <v>1</v>
      </c>
      <c r="G31" s="17">
        <v>715</v>
      </c>
      <c r="H31" s="17">
        <v>25</v>
      </c>
      <c r="I31" s="17">
        <f t="shared" si="0"/>
        <v>690</v>
      </c>
      <c r="J31" s="16" t="s">
        <v>103</v>
      </c>
      <c r="K31" s="16" t="s">
        <v>32</v>
      </c>
      <c r="L31" s="16" t="s">
        <v>1278</v>
      </c>
      <c r="M31" s="16"/>
      <c r="N31" s="16"/>
      <c r="O31" s="16"/>
      <c r="P31" s="16"/>
      <c r="Q31" s="16">
        <v>1</v>
      </c>
    </row>
    <row r="32" spans="1:17" x14ac:dyDescent="0.25">
      <c r="A32" s="16"/>
      <c r="B32" s="16" t="s">
        <v>26</v>
      </c>
      <c r="C32" s="16" t="s">
        <v>1345</v>
      </c>
      <c r="D32" s="16" t="s">
        <v>1346</v>
      </c>
      <c r="E32" s="16" t="s">
        <v>1347</v>
      </c>
      <c r="F32" s="17">
        <v>7</v>
      </c>
      <c r="G32" s="17">
        <v>720</v>
      </c>
      <c r="H32" s="17">
        <v>30</v>
      </c>
      <c r="I32" s="17">
        <f t="shared" si="0"/>
        <v>690</v>
      </c>
      <c r="J32" s="16" t="s">
        <v>103</v>
      </c>
      <c r="K32" s="16" t="s">
        <v>32</v>
      </c>
      <c r="L32" s="16" t="s">
        <v>1278</v>
      </c>
      <c r="M32" s="16"/>
      <c r="N32" s="16"/>
      <c r="O32" s="16"/>
      <c r="P32" s="16"/>
      <c r="Q32" s="16">
        <v>1</v>
      </c>
    </row>
    <row r="33" spans="1:17" x14ac:dyDescent="0.25">
      <c r="A33" s="16"/>
      <c r="B33" s="16" t="s">
        <v>26</v>
      </c>
      <c r="C33" s="16" t="s">
        <v>1348</v>
      </c>
      <c r="D33" s="16" t="s">
        <v>1349</v>
      </c>
      <c r="E33" s="16" t="s">
        <v>1350</v>
      </c>
      <c r="F33" s="17">
        <v>8</v>
      </c>
      <c r="G33" s="17">
        <v>810</v>
      </c>
      <c r="H33" s="17">
        <v>30</v>
      </c>
      <c r="I33" s="17">
        <f t="shared" si="0"/>
        <v>780</v>
      </c>
      <c r="J33" s="16" t="s">
        <v>103</v>
      </c>
      <c r="K33" s="16" t="s">
        <v>32</v>
      </c>
      <c r="L33" s="16" t="s">
        <v>1278</v>
      </c>
      <c r="M33" s="16"/>
      <c r="N33" s="16"/>
      <c r="O33" s="16"/>
      <c r="P33" s="16"/>
      <c r="Q33" s="16">
        <v>1</v>
      </c>
    </row>
    <row r="34" spans="1:17" x14ac:dyDescent="0.25">
      <c r="A34" s="16"/>
      <c r="B34" s="16" t="s">
        <v>26</v>
      </c>
      <c r="C34" s="16" t="s">
        <v>1351</v>
      </c>
      <c r="D34" s="16" t="s">
        <v>1352</v>
      </c>
      <c r="E34" s="16" t="s">
        <v>1353</v>
      </c>
      <c r="F34" s="17">
        <v>1</v>
      </c>
      <c r="G34" s="17">
        <v>0</v>
      </c>
      <c r="H34" s="17">
        <v>25</v>
      </c>
      <c r="I34" s="17">
        <f t="shared" si="0"/>
        <v>-25</v>
      </c>
      <c r="J34" s="16" t="s">
        <v>103</v>
      </c>
      <c r="K34" s="16" t="s">
        <v>32</v>
      </c>
      <c r="L34" s="16" t="s">
        <v>1278</v>
      </c>
      <c r="M34" s="16"/>
      <c r="N34" s="16"/>
      <c r="O34" s="16"/>
      <c r="P34" s="16"/>
      <c r="Q34" s="16">
        <v>1</v>
      </c>
    </row>
    <row r="35" spans="1:17" x14ac:dyDescent="0.25">
      <c r="A35" s="16" t="s">
        <v>141</v>
      </c>
      <c r="B35" s="16" t="s">
        <v>26</v>
      </c>
      <c r="C35" s="16" t="s">
        <v>604</v>
      </c>
      <c r="D35" s="16"/>
      <c r="E35" s="16" t="s">
        <v>605</v>
      </c>
      <c r="F35" s="16" t="s">
        <v>93</v>
      </c>
      <c r="G35" s="17">
        <v>30</v>
      </c>
      <c r="H35" s="17">
        <v>30</v>
      </c>
      <c r="I35" s="17">
        <f t="shared" si="0"/>
        <v>0</v>
      </c>
      <c r="J35" s="16" t="s">
        <v>103</v>
      </c>
      <c r="K35" s="16" t="s">
        <v>32</v>
      </c>
      <c r="L35" s="16" t="s">
        <v>1278</v>
      </c>
      <c r="M35" s="16"/>
      <c r="N35" s="16"/>
      <c r="O35" s="16"/>
      <c r="P35" s="16"/>
      <c r="Q35" s="16">
        <v>1</v>
      </c>
    </row>
    <row r="36" spans="1:17" x14ac:dyDescent="0.25">
      <c r="A36" s="16" t="s">
        <v>141</v>
      </c>
      <c r="B36" s="16" t="s">
        <v>26</v>
      </c>
      <c r="C36" s="16" t="s">
        <v>1354</v>
      </c>
      <c r="D36" s="16"/>
      <c r="E36" s="16" t="s">
        <v>1355</v>
      </c>
      <c r="F36" s="16" t="s">
        <v>93</v>
      </c>
      <c r="G36" s="17">
        <v>0</v>
      </c>
      <c r="H36" s="17">
        <v>30</v>
      </c>
      <c r="I36" s="17">
        <f t="shared" si="0"/>
        <v>-30</v>
      </c>
      <c r="J36" s="16" t="s">
        <v>103</v>
      </c>
      <c r="K36" s="16" t="s">
        <v>32</v>
      </c>
      <c r="L36" s="16" t="s">
        <v>1278</v>
      </c>
      <c r="M36" s="16"/>
      <c r="N36" s="16"/>
      <c r="O36" s="16"/>
      <c r="P36" s="16"/>
      <c r="Q36" s="16">
        <v>1</v>
      </c>
    </row>
    <row r="37" spans="1:17" s="2" customFormat="1" x14ac:dyDescent="0.25">
      <c r="A37" s="23"/>
      <c r="B37" s="23" t="s">
        <v>26</v>
      </c>
      <c r="C37" s="23" t="s">
        <v>725</v>
      </c>
      <c r="D37" s="23" t="s">
        <v>726</v>
      </c>
      <c r="E37" s="23" t="s">
        <v>727</v>
      </c>
      <c r="F37" s="24">
        <v>6</v>
      </c>
      <c r="G37" s="24">
        <v>795</v>
      </c>
      <c r="H37" s="24">
        <v>25</v>
      </c>
      <c r="I37" s="24">
        <f t="shared" si="0"/>
        <v>770</v>
      </c>
      <c r="J37" s="23" t="s">
        <v>269</v>
      </c>
      <c r="K37" s="23" t="s">
        <v>32</v>
      </c>
      <c r="L37" s="23" t="s">
        <v>710</v>
      </c>
      <c r="M37" s="23" t="s">
        <v>157</v>
      </c>
      <c r="N37" s="23" t="s">
        <v>271</v>
      </c>
      <c r="O37" s="23" t="s">
        <v>271</v>
      </c>
      <c r="P37" s="23" t="s">
        <v>272</v>
      </c>
      <c r="Q37" s="23">
        <v>1</v>
      </c>
    </row>
    <row r="38" spans="1:17" s="2" customFormat="1" x14ac:dyDescent="0.25">
      <c r="A38" s="23"/>
      <c r="B38" s="23" t="s">
        <v>26</v>
      </c>
      <c r="C38" s="23" t="s">
        <v>1254</v>
      </c>
      <c r="D38" s="23" t="s">
        <v>1255</v>
      </c>
      <c r="E38" s="23" t="s">
        <v>1256</v>
      </c>
      <c r="F38" s="24">
        <v>7</v>
      </c>
      <c r="G38" s="24">
        <v>920</v>
      </c>
      <c r="H38" s="24">
        <v>30</v>
      </c>
      <c r="I38" s="24">
        <f t="shared" si="0"/>
        <v>890</v>
      </c>
      <c r="J38" s="23" t="s">
        <v>269</v>
      </c>
      <c r="K38" s="23" t="s">
        <v>32</v>
      </c>
      <c r="L38" s="23" t="s">
        <v>1222</v>
      </c>
      <c r="M38" s="23" t="s">
        <v>157</v>
      </c>
      <c r="N38" s="23" t="s">
        <v>271</v>
      </c>
      <c r="O38" s="23" t="s">
        <v>271</v>
      </c>
      <c r="P38" s="23" t="s">
        <v>272</v>
      </c>
      <c r="Q38" s="23">
        <v>1</v>
      </c>
    </row>
    <row r="40" spans="1:17" x14ac:dyDescent="0.25">
      <c r="D40" s="1">
        <f>COUNTA(D3:D38)</f>
        <v>32</v>
      </c>
      <c r="G40" s="1">
        <f t="shared" ref="G40:Q40" si="1">SUBTOTAL(9,G3:G38)</f>
        <v>23890</v>
      </c>
      <c r="H40" s="1">
        <f t="shared" si="1"/>
        <v>995</v>
      </c>
      <c r="I40" s="1">
        <f t="shared" si="1"/>
        <v>22895</v>
      </c>
      <c r="J40" s="1">
        <f t="shared" si="1"/>
        <v>0</v>
      </c>
      <c r="K40" s="1">
        <f t="shared" si="1"/>
        <v>0</v>
      </c>
      <c r="L40" s="1">
        <f t="shared" si="1"/>
        <v>0</v>
      </c>
      <c r="M40" s="1">
        <f t="shared" si="1"/>
        <v>0</v>
      </c>
      <c r="N40" s="1">
        <f t="shared" si="1"/>
        <v>0</v>
      </c>
      <c r="O40" s="1">
        <f t="shared" si="1"/>
        <v>0</v>
      </c>
      <c r="P40" s="1">
        <f t="shared" si="1"/>
        <v>0</v>
      </c>
      <c r="Q40" s="1">
        <f t="shared" si="1"/>
        <v>36</v>
      </c>
    </row>
    <row r="41" spans="1:17" x14ac:dyDescent="0.25">
      <c r="H41">
        <f>-2*17</f>
        <v>-34</v>
      </c>
    </row>
    <row r="42" spans="1:17" x14ac:dyDescent="0.25">
      <c r="A42" s="1" t="s">
        <v>26</v>
      </c>
      <c r="C42" s="34" t="s">
        <v>144</v>
      </c>
      <c r="D42" s="34"/>
      <c r="E42" s="4" t="s">
        <v>145</v>
      </c>
      <c r="H42">
        <f>-4*25</f>
        <v>-100</v>
      </c>
      <c r="I42">
        <v>17</v>
      </c>
      <c r="K42" s="11" t="s">
        <v>103</v>
      </c>
      <c r="L42" s="11" t="s">
        <v>146</v>
      </c>
      <c r="M42" s="11" t="s">
        <v>145</v>
      </c>
      <c r="O42" s="4" t="s">
        <v>147</v>
      </c>
    </row>
    <row r="43" spans="1:17" x14ac:dyDescent="0.25">
      <c r="A43" t="s">
        <v>1278</v>
      </c>
      <c r="B43" s="3" t="s">
        <v>148</v>
      </c>
      <c r="C43" s="35">
        <f>SUMIFS(I$3:I$38,B$3:B$38,A$42,L$3:L$38,A$43)</f>
        <v>21235</v>
      </c>
      <c r="D43" s="35"/>
      <c r="E43" s="3">
        <f>SUMIFS(Q$3:Q$38,B$3:B$38,A$42,L$3:L$38,A$43)</f>
        <v>34</v>
      </c>
      <c r="F43" t="s">
        <v>149</v>
      </c>
      <c r="H43">
        <f>-1*30</f>
        <v>-30</v>
      </c>
      <c r="K43" t="s">
        <v>150</v>
      </c>
      <c r="L43">
        <f>SUMIFS(G$3:G$38,J$3:J$38,K$42)</f>
        <v>8900</v>
      </c>
      <c r="M43">
        <f>SUMIFS(Q$3:Q$38,J$3:J$38,K$42)-INT(COUNTIFS(J$3:J$38,K$42,M$3:M$38,"*gộp*")/2)</f>
        <v>18</v>
      </c>
      <c r="O43" t="s">
        <v>103</v>
      </c>
      <c r="P43">
        <f>L48</f>
        <v>7600</v>
      </c>
    </row>
    <row r="44" spans="1:17" x14ac:dyDescent="0.25">
      <c r="B44" s="2" t="s">
        <v>152</v>
      </c>
      <c r="C44" s="36">
        <v>0</v>
      </c>
      <c r="D44" s="36"/>
      <c r="K44" t="s">
        <v>153</v>
      </c>
      <c r="L44">
        <f>-SUMIFS(H$3:H$38,J$3:J$38,K$42)+M44*5</f>
        <v>-405</v>
      </c>
      <c r="M44">
        <f>SUMIFS(Q$3:Q$38,J$3:J$38,K$42)-INT(COUNTIFS(J$3:J$38,K$42,M$3:M$38,"*gộp*")/2)</f>
        <v>18</v>
      </c>
      <c r="O44" t="s">
        <v>1356</v>
      </c>
      <c r="P44">
        <f>L56</f>
        <v>3009</v>
      </c>
    </row>
    <row r="45" spans="1:17" x14ac:dyDescent="0.25">
      <c r="B45" s="2" t="s">
        <v>154</v>
      </c>
      <c r="C45" s="36">
        <f>-SUMIFS(I$3:I$38,B$3:B$38,A$42,P$3:P$38,"xx",N$3:N$38,"x")</f>
        <v>-1660</v>
      </c>
      <c r="D45" s="36"/>
      <c r="E45" s="2">
        <f>SUMIFS(Q$3:Q$38,B$3:B$38,A$42,P$3:P$38,"xx",N$3:N$38,"x")</f>
        <v>2</v>
      </c>
      <c r="K45" t="s">
        <v>155</v>
      </c>
      <c r="O45" t="s">
        <v>32</v>
      </c>
      <c r="P45">
        <f>L64</f>
        <v>9053</v>
      </c>
    </row>
    <row r="46" spans="1:17" x14ac:dyDescent="0.25">
      <c r="B46" s="4" t="s">
        <v>156</v>
      </c>
      <c r="C46" s="34">
        <f>SUBTOTAL(9,C43:C45)</f>
        <v>19575</v>
      </c>
      <c r="D46" s="34"/>
      <c r="E46">
        <f>E43</f>
        <v>34</v>
      </c>
      <c r="K46" s="12" t="s">
        <v>157</v>
      </c>
      <c r="L46" s="25">
        <v>-895</v>
      </c>
      <c r="M46" s="25" t="s">
        <v>274</v>
      </c>
      <c r="O46" t="s">
        <v>158</v>
      </c>
      <c r="P46">
        <f>-C50</f>
        <v>-19575</v>
      </c>
    </row>
    <row r="47" spans="1:17" x14ac:dyDescent="0.25">
      <c r="B47" s="2" t="s">
        <v>159</v>
      </c>
      <c r="C47" s="32"/>
      <c r="D47" s="32"/>
      <c r="K47" s="2" t="s">
        <v>160</v>
      </c>
      <c r="O47" s="4" t="s">
        <v>161</v>
      </c>
      <c r="P47" s="4">
        <f>SUBTOTAL(9,P43:P46)</f>
        <v>87</v>
      </c>
    </row>
    <row r="48" spans="1:17" x14ac:dyDescent="0.25">
      <c r="B48" s="13" t="s">
        <v>162</v>
      </c>
      <c r="C48" s="32"/>
      <c r="D48" s="32"/>
      <c r="L48" s="14">
        <f>SUBTOTAL(9,L43:L47)</f>
        <v>7600</v>
      </c>
      <c r="M48" s="14">
        <f>M43</f>
        <v>18</v>
      </c>
    </row>
    <row r="50" spans="2:13" x14ac:dyDescent="0.25">
      <c r="B50" s="1" t="s">
        <v>163</v>
      </c>
      <c r="C50" s="33">
        <f>C46+C47+C48</f>
        <v>19575</v>
      </c>
      <c r="D50" s="33"/>
      <c r="E50" s="1" t="s">
        <v>164</v>
      </c>
      <c r="K50" s="11" t="s">
        <v>1277</v>
      </c>
      <c r="L50" s="11" t="s">
        <v>146</v>
      </c>
      <c r="M50" s="11" t="s">
        <v>145</v>
      </c>
    </row>
    <row r="51" spans="2:13" x14ac:dyDescent="0.25">
      <c r="K51" t="s">
        <v>150</v>
      </c>
      <c r="L51">
        <f>SUMIFS(G$3:G$38,J$3:J$38,K$50)</f>
        <v>3960</v>
      </c>
      <c r="M51">
        <f>SUMIFS(Q$3:Q$38,J$3:J$38,K$50)-INT(COUNTIFS(J$3:J$38,K$50,M$3:M$38,"*gộp*")/2)</f>
        <v>7</v>
      </c>
    </row>
    <row r="52" spans="2:13" x14ac:dyDescent="0.25">
      <c r="K52" t="s">
        <v>153</v>
      </c>
      <c r="L52">
        <f>SUM(H41:H43)</f>
        <v>-164</v>
      </c>
      <c r="M52">
        <f>SUMIFS(Q$3:Q$38,J$3:J$38,K$50)-INT(COUNTIFS(J$3:J$38,K$50,M$3:M$38,"*gộp*")/2)</f>
        <v>7</v>
      </c>
    </row>
    <row r="53" spans="2:13" x14ac:dyDescent="0.25">
      <c r="K53" t="s">
        <v>155</v>
      </c>
    </row>
    <row r="54" spans="2:13" x14ac:dyDescent="0.25">
      <c r="K54" s="12" t="s">
        <v>157</v>
      </c>
      <c r="L54" s="25">
        <v>-787</v>
      </c>
      <c r="M54" s="25" t="s">
        <v>274</v>
      </c>
    </row>
    <row r="55" spans="2:13" x14ac:dyDescent="0.25">
      <c r="K55" s="2" t="s">
        <v>160</v>
      </c>
    </row>
    <row r="56" spans="2:13" x14ac:dyDescent="0.25">
      <c r="L56" s="14">
        <f>SUBTOTAL(9,L51:L55)</f>
        <v>3009</v>
      </c>
      <c r="M56" s="14">
        <f>M51</f>
        <v>7</v>
      </c>
    </row>
    <row r="58" spans="2:13" x14ac:dyDescent="0.25">
      <c r="K58" s="11" t="s">
        <v>32</v>
      </c>
      <c r="L58" s="11" t="s">
        <v>146</v>
      </c>
      <c r="M58" s="11" t="s">
        <v>145</v>
      </c>
    </row>
    <row r="59" spans="2:13" x14ac:dyDescent="0.25">
      <c r="K59" t="s">
        <v>150</v>
      </c>
      <c r="L59">
        <f>SUMIFS(G$3:G$38,J$3:J$38,K$58)</f>
        <v>9315</v>
      </c>
      <c r="M59">
        <f>SUMIFS(Q$3:Q$38,J$3:J$38,K$58)-INT(COUNTIFS(J$3:J$38,K$58,M$3:M$38,"*gộp*")/2)</f>
        <v>8</v>
      </c>
    </row>
    <row r="60" spans="2:13" x14ac:dyDescent="0.25">
      <c r="K60" t="s">
        <v>153</v>
      </c>
      <c r="L60">
        <f>-SUMIFS(H$3:H$38,J$3:J$38,K$58)+M60*5</f>
        <v>-200</v>
      </c>
      <c r="M60">
        <f>SUMIFS(Q$3:Q$38,J$3:J$38,K$58)-INT(COUNTIFS(J$3:J$38,K$58,M$3:M$38,"*gộp*")/2)</f>
        <v>8</v>
      </c>
    </row>
    <row r="61" spans="2:13" x14ac:dyDescent="0.25">
      <c r="K61" t="s">
        <v>155</v>
      </c>
      <c r="L61">
        <f>-M61*2</f>
        <v>-62</v>
      </c>
      <c r="M61">
        <f>E46-(COUNTIFS(M$3:M$38,"*gộp*")/2)-COUNTIFS(M$3:M$38,"*đơn trả*")-COUNTIFS(M$3:M$38,"*hàng tỉnh*")</f>
        <v>31</v>
      </c>
    </row>
    <row r="62" spans="2:13" x14ac:dyDescent="0.25">
      <c r="K62" s="12" t="s">
        <v>157</v>
      </c>
    </row>
    <row r="63" spans="2:13" x14ac:dyDescent="0.25">
      <c r="K63" s="2" t="s">
        <v>160</v>
      </c>
    </row>
    <row r="64" spans="2:13" x14ac:dyDescent="0.25">
      <c r="L64" s="14">
        <f>SUBTOTAL(9,L59:L63)</f>
        <v>9053</v>
      </c>
      <c r="M64" s="14">
        <f>M59</f>
        <v>8</v>
      </c>
    </row>
  </sheetData>
  <autoFilter ref="A2:P38" xr:uid="{00000000-0009-0000-0000-00000E000000}">
    <sortState xmlns:xlrd2="http://schemas.microsoft.com/office/spreadsheetml/2017/richdata2" ref="A3:P38">
      <sortCondition ref="J2:J38"/>
    </sortState>
  </autoFilter>
  <mergeCells count="8">
    <mergeCell ref="C47:D47"/>
    <mergeCell ref="C48:D48"/>
    <mergeCell ref="C50:D50"/>
    <mergeCell ref="C42:D42"/>
    <mergeCell ref="C43:D43"/>
    <mergeCell ref="C44:D44"/>
    <mergeCell ref="C45:D45"/>
    <mergeCell ref="C46:D46"/>
  </mergeCells>
  <pageMargins left="0.75" right="0.75" top="0.75" bottom="0.5" header="0.5" footer="0.7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R73"/>
  <sheetViews>
    <sheetView topLeftCell="A16" workbookViewId="0">
      <selection activeCell="G39" sqref="G39"/>
    </sheetView>
  </sheetViews>
  <sheetFormatPr defaultRowHeight="15" x14ac:dyDescent="0.25"/>
  <cols>
    <col min="1" max="1" width="12.7109375" customWidth="1"/>
    <col min="2" max="2" width="8.140625" customWidth="1"/>
    <col min="3" max="3" width="38.7109375" customWidth="1"/>
    <col min="4" max="4" width="9.85546875" customWidth="1"/>
    <col min="5" max="5" width="83.7109375" customWidth="1"/>
    <col min="6" max="6" width="10.855468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0.42578125" customWidth="1"/>
    <col min="13" max="13" width="14.7109375" bestFit="1" customWidth="1"/>
    <col min="14" max="14" width="9.7109375" customWidth="1"/>
    <col min="15" max="15" width="10.42578125" customWidth="1"/>
    <col min="16" max="16" width="7.42578125" bestFit="1" customWidth="1"/>
  </cols>
  <sheetData>
    <row r="2" spans="1:18" x14ac:dyDescent="0.25">
      <c r="A2" s="15" t="s">
        <v>10</v>
      </c>
      <c r="B2" s="15" t="s">
        <v>11</v>
      </c>
      <c r="C2" s="15" t="s">
        <v>12</v>
      </c>
      <c r="D2" s="15" t="s">
        <v>13</v>
      </c>
      <c r="E2" s="15" t="s">
        <v>14</v>
      </c>
      <c r="F2" s="15" t="s">
        <v>15</v>
      </c>
      <c r="G2" s="15" t="s">
        <v>16</v>
      </c>
      <c r="H2" s="15" t="s">
        <v>17</v>
      </c>
      <c r="I2" s="15" t="s">
        <v>18</v>
      </c>
      <c r="J2" s="15" t="s">
        <v>19</v>
      </c>
      <c r="K2" s="15" t="s">
        <v>20</v>
      </c>
      <c r="L2" s="15" t="s">
        <v>21</v>
      </c>
      <c r="M2" s="15" t="s">
        <v>22</v>
      </c>
      <c r="N2" s="15" t="s">
        <v>23</v>
      </c>
      <c r="O2" s="15" t="s">
        <v>24</v>
      </c>
      <c r="P2" s="15" t="s">
        <v>25</v>
      </c>
      <c r="Q2" s="16"/>
    </row>
    <row r="3" spans="1:18" x14ac:dyDescent="0.25">
      <c r="A3" s="16"/>
      <c r="B3" s="16" t="s">
        <v>26</v>
      </c>
      <c r="C3" s="16" t="s">
        <v>1357</v>
      </c>
      <c r="D3" s="16" t="s">
        <v>1358</v>
      </c>
      <c r="E3" s="16" t="s">
        <v>1359</v>
      </c>
      <c r="F3" s="16" t="s">
        <v>40</v>
      </c>
      <c r="G3" s="17">
        <v>1615</v>
      </c>
      <c r="H3" s="17">
        <v>35</v>
      </c>
      <c r="I3" s="17">
        <f t="shared" ref="I3:I47" si="0">G3-H3</f>
        <v>1580</v>
      </c>
      <c r="J3" s="16" t="s">
        <v>1360</v>
      </c>
      <c r="K3" s="16" t="s">
        <v>32</v>
      </c>
      <c r="L3" s="16" t="s">
        <v>1361</v>
      </c>
      <c r="M3" s="16"/>
      <c r="N3" s="16"/>
      <c r="O3" s="16"/>
      <c r="P3" s="16"/>
      <c r="Q3" s="16">
        <v>1</v>
      </c>
    </row>
    <row r="4" spans="1:18" x14ac:dyDescent="0.25">
      <c r="A4" s="16"/>
      <c r="B4" s="16" t="s">
        <v>26</v>
      </c>
      <c r="C4" s="16" t="s">
        <v>1362</v>
      </c>
      <c r="D4" s="16" t="s">
        <v>1363</v>
      </c>
      <c r="E4" s="16" t="s">
        <v>1364</v>
      </c>
      <c r="F4" s="16" t="s">
        <v>51</v>
      </c>
      <c r="G4" s="17">
        <v>2750</v>
      </c>
      <c r="H4" s="17">
        <v>35</v>
      </c>
      <c r="I4" s="17">
        <f t="shared" si="0"/>
        <v>2715</v>
      </c>
      <c r="J4" s="16" t="s">
        <v>1360</v>
      </c>
      <c r="K4" s="16" t="s">
        <v>32</v>
      </c>
      <c r="L4" s="16" t="s">
        <v>1361</v>
      </c>
      <c r="M4" s="18" t="s">
        <v>55</v>
      </c>
      <c r="N4" s="16"/>
      <c r="O4" s="16"/>
      <c r="P4" s="16"/>
      <c r="Q4" s="16">
        <v>1</v>
      </c>
      <c r="R4" s="10">
        <f>H4</f>
        <v>35</v>
      </c>
    </row>
    <row r="5" spans="1:18" x14ac:dyDescent="0.25">
      <c r="A5" s="16"/>
      <c r="B5" s="16" t="s">
        <v>26</v>
      </c>
      <c r="C5" s="16" t="s">
        <v>1153</v>
      </c>
      <c r="D5" s="16" t="s">
        <v>1365</v>
      </c>
      <c r="E5" s="16" t="s">
        <v>1366</v>
      </c>
      <c r="F5" s="17">
        <v>8</v>
      </c>
      <c r="G5" s="17">
        <v>0</v>
      </c>
      <c r="H5" s="17">
        <v>30</v>
      </c>
      <c r="I5" s="17">
        <f t="shared" si="0"/>
        <v>-30</v>
      </c>
      <c r="J5" s="16" t="s">
        <v>1360</v>
      </c>
      <c r="K5" s="16" t="s">
        <v>32</v>
      </c>
      <c r="L5" s="16" t="s">
        <v>1361</v>
      </c>
      <c r="M5" s="16"/>
      <c r="N5" s="16"/>
      <c r="O5" s="16"/>
      <c r="P5" s="16"/>
      <c r="Q5" s="16">
        <v>1</v>
      </c>
      <c r="R5" s="10">
        <f>H5</f>
        <v>30</v>
      </c>
    </row>
    <row r="6" spans="1:18" x14ac:dyDescent="0.25">
      <c r="A6" s="16"/>
      <c r="B6" s="16" t="s">
        <v>26</v>
      </c>
      <c r="C6" s="16" t="s">
        <v>1367</v>
      </c>
      <c r="D6" s="16" t="s">
        <v>1368</v>
      </c>
      <c r="E6" s="16" t="s">
        <v>1369</v>
      </c>
      <c r="F6" s="17">
        <v>12</v>
      </c>
      <c r="G6" s="17">
        <v>710</v>
      </c>
      <c r="H6" s="17">
        <v>30</v>
      </c>
      <c r="I6" s="17">
        <f t="shared" si="0"/>
        <v>680</v>
      </c>
      <c r="J6" s="16" t="s">
        <v>1360</v>
      </c>
      <c r="K6" s="16" t="s">
        <v>32</v>
      </c>
      <c r="L6" s="16" t="s">
        <v>1361</v>
      </c>
      <c r="M6" s="16"/>
      <c r="N6" s="16"/>
      <c r="O6" s="16"/>
      <c r="P6" s="16"/>
      <c r="Q6" s="16">
        <v>1</v>
      </c>
    </row>
    <row r="7" spans="1:18" x14ac:dyDescent="0.25">
      <c r="A7" s="16"/>
      <c r="B7" s="16" t="s">
        <v>26</v>
      </c>
      <c r="C7" s="16" t="s">
        <v>1370</v>
      </c>
      <c r="D7" s="16" t="s">
        <v>1371</v>
      </c>
      <c r="E7" s="16" t="s">
        <v>1372</v>
      </c>
      <c r="F7" s="17">
        <v>11</v>
      </c>
      <c r="G7" s="17">
        <v>545</v>
      </c>
      <c r="H7" s="17">
        <v>25</v>
      </c>
      <c r="I7" s="17">
        <f t="shared" si="0"/>
        <v>520</v>
      </c>
      <c r="J7" s="16" t="s">
        <v>1360</v>
      </c>
      <c r="K7" s="16" t="s">
        <v>32</v>
      </c>
      <c r="L7" s="16" t="s">
        <v>1361</v>
      </c>
      <c r="M7" s="16"/>
      <c r="N7" s="16"/>
      <c r="O7" s="16"/>
      <c r="P7" s="16"/>
      <c r="Q7" s="16">
        <v>1</v>
      </c>
    </row>
    <row r="8" spans="1:18" x14ac:dyDescent="0.25">
      <c r="A8" s="16"/>
      <c r="B8" s="16" t="s">
        <v>26</v>
      </c>
      <c r="C8" s="16" t="s">
        <v>1373</v>
      </c>
      <c r="D8" s="16" t="s">
        <v>1374</v>
      </c>
      <c r="E8" s="16" t="s">
        <v>1375</v>
      </c>
      <c r="F8" s="16" t="s">
        <v>51</v>
      </c>
      <c r="G8" s="17">
        <v>710</v>
      </c>
      <c r="H8" s="17">
        <v>30</v>
      </c>
      <c r="I8" s="17">
        <f t="shared" si="0"/>
        <v>680</v>
      </c>
      <c r="J8" s="16" t="s">
        <v>1360</v>
      </c>
      <c r="K8" s="16" t="s">
        <v>32</v>
      </c>
      <c r="L8" s="16" t="s">
        <v>1361</v>
      </c>
      <c r="M8" s="16"/>
      <c r="N8" s="16"/>
      <c r="O8" s="16"/>
      <c r="P8" s="16"/>
      <c r="Q8" s="16">
        <v>1</v>
      </c>
    </row>
    <row r="9" spans="1:18" s="21" customFormat="1" x14ac:dyDescent="0.25">
      <c r="A9" s="19"/>
      <c r="B9" s="19" t="s">
        <v>26</v>
      </c>
      <c r="C9" s="19" t="s">
        <v>1376</v>
      </c>
      <c r="D9" s="19" t="s">
        <v>1377</v>
      </c>
      <c r="E9" s="19" t="s">
        <v>1378</v>
      </c>
      <c r="F9" s="19" t="s">
        <v>30</v>
      </c>
      <c r="G9" s="20">
        <v>95</v>
      </c>
      <c r="H9" s="20">
        <v>25</v>
      </c>
      <c r="I9" s="20">
        <f t="shared" si="0"/>
        <v>70</v>
      </c>
      <c r="J9" s="19" t="s">
        <v>1360</v>
      </c>
      <c r="K9" s="19" t="s">
        <v>32</v>
      </c>
      <c r="L9" s="19" t="s">
        <v>1361</v>
      </c>
      <c r="M9" s="19" t="s">
        <v>68</v>
      </c>
      <c r="N9" s="19"/>
      <c r="O9" s="19"/>
      <c r="P9" s="19"/>
      <c r="Q9" s="19">
        <v>1</v>
      </c>
    </row>
    <row r="10" spans="1:18" x14ac:dyDescent="0.25">
      <c r="A10" s="16"/>
      <c r="B10" s="16" t="s">
        <v>26</v>
      </c>
      <c r="C10" s="16" t="s">
        <v>1379</v>
      </c>
      <c r="D10" s="16" t="s">
        <v>1380</v>
      </c>
      <c r="E10" s="16" t="s">
        <v>830</v>
      </c>
      <c r="F10" s="16" t="s">
        <v>51</v>
      </c>
      <c r="G10" s="17">
        <v>0</v>
      </c>
      <c r="H10" s="17">
        <v>30</v>
      </c>
      <c r="I10" s="17">
        <f t="shared" si="0"/>
        <v>-30</v>
      </c>
      <c r="J10" s="16" t="s">
        <v>1360</v>
      </c>
      <c r="K10" s="16" t="s">
        <v>32</v>
      </c>
      <c r="L10" s="16" t="s">
        <v>1361</v>
      </c>
      <c r="M10" s="16"/>
      <c r="N10" s="16"/>
      <c r="O10" s="16"/>
      <c r="P10" s="16"/>
      <c r="Q10" s="16">
        <v>1</v>
      </c>
      <c r="R10" s="10">
        <f>H10</f>
        <v>30</v>
      </c>
    </row>
    <row r="11" spans="1:18" x14ac:dyDescent="0.25">
      <c r="A11" s="16"/>
      <c r="B11" s="16" t="s">
        <v>26</v>
      </c>
      <c r="C11" s="16" t="s">
        <v>1165</v>
      </c>
      <c r="D11" s="16" t="s">
        <v>1381</v>
      </c>
      <c r="E11" s="16" t="s">
        <v>1167</v>
      </c>
      <c r="F11" s="16" t="s">
        <v>40</v>
      </c>
      <c r="G11" s="17">
        <v>715</v>
      </c>
      <c r="H11" s="17">
        <v>35</v>
      </c>
      <c r="I11" s="17">
        <f t="shared" si="0"/>
        <v>680</v>
      </c>
      <c r="J11" s="16" t="s">
        <v>1360</v>
      </c>
      <c r="K11" s="16" t="s">
        <v>32</v>
      </c>
      <c r="L11" s="16" t="s">
        <v>1361</v>
      </c>
      <c r="M11" s="16"/>
      <c r="N11" s="16"/>
      <c r="O11" s="16"/>
      <c r="P11" s="16"/>
      <c r="Q11" s="16">
        <v>1</v>
      </c>
    </row>
    <row r="12" spans="1:18" x14ac:dyDescent="0.25">
      <c r="A12" s="16"/>
      <c r="B12" s="16" t="s">
        <v>26</v>
      </c>
      <c r="C12" s="16" t="s">
        <v>1080</v>
      </c>
      <c r="D12" s="16" t="s">
        <v>1382</v>
      </c>
      <c r="E12" s="16" t="s">
        <v>1082</v>
      </c>
      <c r="F12" s="16" t="s">
        <v>51</v>
      </c>
      <c r="G12" s="17">
        <v>970</v>
      </c>
      <c r="H12" s="17">
        <v>30</v>
      </c>
      <c r="I12" s="17">
        <f t="shared" si="0"/>
        <v>940</v>
      </c>
      <c r="J12" s="16" t="s">
        <v>1360</v>
      </c>
      <c r="K12" s="16" t="s">
        <v>32</v>
      </c>
      <c r="L12" s="16" t="s">
        <v>1361</v>
      </c>
      <c r="M12" s="16"/>
      <c r="N12" s="16"/>
      <c r="O12" s="16"/>
      <c r="P12" s="16"/>
      <c r="Q12" s="16">
        <v>1</v>
      </c>
    </row>
    <row r="13" spans="1:18" x14ac:dyDescent="0.25">
      <c r="A13" s="16"/>
      <c r="B13" s="16" t="s">
        <v>26</v>
      </c>
      <c r="C13" s="16" t="s">
        <v>1383</v>
      </c>
      <c r="D13" s="16" t="s">
        <v>1384</v>
      </c>
      <c r="E13" s="16" t="s">
        <v>1385</v>
      </c>
      <c r="F13" s="16" t="s">
        <v>51</v>
      </c>
      <c r="G13" s="17">
        <v>720</v>
      </c>
      <c r="H13" s="17">
        <v>30</v>
      </c>
      <c r="I13" s="17">
        <f t="shared" si="0"/>
        <v>690</v>
      </c>
      <c r="J13" s="16" t="s">
        <v>1360</v>
      </c>
      <c r="K13" s="16" t="s">
        <v>32</v>
      </c>
      <c r="L13" s="16" t="s">
        <v>1361</v>
      </c>
      <c r="M13" s="16"/>
      <c r="N13" s="16"/>
      <c r="O13" s="16"/>
      <c r="P13" s="16"/>
      <c r="Q13" s="16">
        <v>1</v>
      </c>
    </row>
    <row r="14" spans="1:18" x14ac:dyDescent="0.25">
      <c r="A14" s="16" t="s">
        <v>141</v>
      </c>
      <c r="B14" s="16" t="s">
        <v>26</v>
      </c>
      <c r="C14" s="16" t="s">
        <v>398</v>
      </c>
      <c r="D14" s="16"/>
      <c r="E14" s="16" t="s">
        <v>399</v>
      </c>
      <c r="F14" s="17">
        <v>6</v>
      </c>
      <c r="G14" s="17">
        <v>35</v>
      </c>
      <c r="H14" s="17">
        <v>35</v>
      </c>
      <c r="I14" s="17">
        <f t="shared" si="0"/>
        <v>0</v>
      </c>
      <c r="J14" s="16" t="s">
        <v>1360</v>
      </c>
      <c r="K14" s="16" t="s">
        <v>32</v>
      </c>
      <c r="L14" s="16" t="s">
        <v>1361</v>
      </c>
      <c r="M14" s="16"/>
      <c r="N14" s="16"/>
      <c r="O14" s="16"/>
      <c r="P14" s="16"/>
      <c r="Q14" s="16">
        <v>1</v>
      </c>
    </row>
    <row r="15" spans="1:18" x14ac:dyDescent="0.25">
      <c r="A15" s="16" t="s">
        <v>141</v>
      </c>
      <c r="B15" s="16" t="s">
        <v>26</v>
      </c>
      <c r="C15" s="16" t="s">
        <v>971</v>
      </c>
      <c r="D15" s="16"/>
      <c r="E15" s="16" t="s">
        <v>387</v>
      </c>
      <c r="F15" s="17">
        <v>6</v>
      </c>
      <c r="G15" s="17">
        <v>0</v>
      </c>
      <c r="H15" s="17">
        <v>30</v>
      </c>
      <c r="I15" s="17">
        <f t="shared" si="0"/>
        <v>-30</v>
      </c>
      <c r="J15" s="16" t="s">
        <v>1360</v>
      </c>
      <c r="K15" s="16" t="s">
        <v>32</v>
      </c>
      <c r="L15" s="16" t="s">
        <v>1361</v>
      </c>
      <c r="M15" s="16"/>
      <c r="N15" s="16"/>
      <c r="O15" s="16"/>
      <c r="P15" s="16"/>
      <c r="Q15" s="16">
        <v>1</v>
      </c>
      <c r="R15" s="10">
        <f>H15</f>
        <v>30</v>
      </c>
    </row>
    <row r="16" spans="1:18" x14ac:dyDescent="0.25">
      <c r="A16" s="16"/>
      <c r="B16" s="16" t="s">
        <v>26</v>
      </c>
      <c r="C16" s="16" t="s">
        <v>1386</v>
      </c>
      <c r="D16" s="16" t="s">
        <v>1387</v>
      </c>
      <c r="E16" s="16" t="s">
        <v>1388</v>
      </c>
      <c r="F16" s="16" t="s">
        <v>75</v>
      </c>
      <c r="G16" s="17">
        <v>700</v>
      </c>
      <c r="H16" s="17">
        <v>20</v>
      </c>
      <c r="I16" s="17">
        <f t="shared" si="0"/>
        <v>680</v>
      </c>
      <c r="J16" s="16" t="s">
        <v>32</v>
      </c>
      <c r="K16" s="16" t="s">
        <v>32</v>
      </c>
      <c r="L16" s="16" t="s">
        <v>1361</v>
      </c>
      <c r="M16" s="16"/>
      <c r="N16" s="16"/>
      <c r="O16" s="16"/>
      <c r="P16" s="16"/>
      <c r="Q16" s="16">
        <v>1</v>
      </c>
    </row>
    <row r="17" spans="1:18" x14ac:dyDescent="0.25">
      <c r="A17" s="16"/>
      <c r="B17" s="16" t="s">
        <v>26</v>
      </c>
      <c r="C17" s="16" t="s">
        <v>1389</v>
      </c>
      <c r="D17" s="16" t="s">
        <v>1390</v>
      </c>
      <c r="E17" s="16" t="s">
        <v>1391</v>
      </c>
      <c r="F17" s="16" t="s">
        <v>75</v>
      </c>
      <c r="G17" s="17">
        <v>700</v>
      </c>
      <c r="H17" s="17">
        <v>20</v>
      </c>
      <c r="I17" s="17">
        <f t="shared" si="0"/>
        <v>680</v>
      </c>
      <c r="J17" s="16" t="s">
        <v>32</v>
      </c>
      <c r="K17" s="16" t="s">
        <v>32</v>
      </c>
      <c r="L17" s="16" t="s">
        <v>1361</v>
      </c>
      <c r="M17" s="16"/>
      <c r="N17" s="16"/>
      <c r="O17" s="16"/>
      <c r="P17" s="16"/>
      <c r="Q17" s="16">
        <v>1</v>
      </c>
    </row>
    <row r="18" spans="1:18" x14ac:dyDescent="0.25">
      <c r="A18" s="16"/>
      <c r="B18" s="16" t="s">
        <v>26</v>
      </c>
      <c r="C18" s="16" t="s">
        <v>1234</v>
      </c>
      <c r="D18" s="16" t="s">
        <v>1392</v>
      </c>
      <c r="E18" s="16" t="s">
        <v>1236</v>
      </c>
      <c r="F18" s="16" t="s">
        <v>82</v>
      </c>
      <c r="G18" s="17">
        <v>0</v>
      </c>
      <c r="H18" s="17">
        <v>25</v>
      </c>
      <c r="I18" s="17">
        <f t="shared" si="0"/>
        <v>-25</v>
      </c>
      <c r="J18" s="16" t="s">
        <v>32</v>
      </c>
      <c r="K18" s="16" t="s">
        <v>32</v>
      </c>
      <c r="L18" s="16" t="s">
        <v>1361</v>
      </c>
      <c r="M18" s="16"/>
      <c r="N18" s="16"/>
      <c r="O18" s="16"/>
      <c r="P18" s="16"/>
      <c r="Q18" s="16">
        <v>1</v>
      </c>
      <c r="R18" s="10">
        <f>H18</f>
        <v>25</v>
      </c>
    </row>
    <row r="19" spans="1:18" x14ac:dyDescent="0.25">
      <c r="A19" s="16"/>
      <c r="B19" s="16" t="s">
        <v>26</v>
      </c>
      <c r="C19" s="16" t="s">
        <v>225</v>
      </c>
      <c r="D19" s="16" t="s">
        <v>1393</v>
      </c>
      <c r="E19" s="16" t="s">
        <v>1394</v>
      </c>
      <c r="F19" s="17">
        <v>12</v>
      </c>
      <c r="G19" s="17">
        <v>0</v>
      </c>
      <c r="H19" s="17">
        <v>30</v>
      </c>
      <c r="I19" s="17">
        <f t="shared" si="0"/>
        <v>-30</v>
      </c>
      <c r="J19" s="16" t="s">
        <v>32</v>
      </c>
      <c r="K19" s="16" t="s">
        <v>32</v>
      </c>
      <c r="L19" s="16" t="s">
        <v>1361</v>
      </c>
      <c r="M19" s="16"/>
      <c r="N19" s="16"/>
      <c r="O19" s="16"/>
      <c r="P19" s="16"/>
      <c r="Q19" s="16">
        <v>1</v>
      </c>
      <c r="R19" s="10">
        <f>H19</f>
        <v>30</v>
      </c>
    </row>
    <row r="20" spans="1:18" x14ac:dyDescent="0.25">
      <c r="A20" s="16"/>
      <c r="B20" s="16" t="s">
        <v>26</v>
      </c>
      <c r="C20" s="16" t="s">
        <v>1395</v>
      </c>
      <c r="D20" s="16" t="s">
        <v>1396</v>
      </c>
      <c r="E20" s="16" t="s">
        <v>1397</v>
      </c>
      <c r="F20" s="16" t="s">
        <v>93</v>
      </c>
      <c r="G20" s="17">
        <v>815</v>
      </c>
      <c r="H20" s="17">
        <v>25</v>
      </c>
      <c r="I20" s="17">
        <f t="shared" si="0"/>
        <v>790</v>
      </c>
      <c r="J20" s="16" t="s">
        <v>32</v>
      </c>
      <c r="K20" s="16" t="s">
        <v>32</v>
      </c>
      <c r="L20" s="16" t="s">
        <v>1361</v>
      </c>
      <c r="M20" s="16"/>
      <c r="N20" s="16"/>
      <c r="O20" s="16"/>
      <c r="P20" s="16"/>
      <c r="Q20" s="16">
        <v>1</v>
      </c>
    </row>
    <row r="21" spans="1:18" x14ac:dyDescent="0.25">
      <c r="A21" s="16"/>
      <c r="B21" s="16" t="s">
        <v>26</v>
      </c>
      <c r="C21" s="16" t="s">
        <v>1398</v>
      </c>
      <c r="D21" s="16" t="s">
        <v>1399</v>
      </c>
      <c r="E21" s="16" t="s">
        <v>1400</v>
      </c>
      <c r="F21" s="16" t="s">
        <v>93</v>
      </c>
      <c r="G21" s="17">
        <v>1375</v>
      </c>
      <c r="H21" s="17">
        <v>25</v>
      </c>
      <c r="I21" s="17">
        <f t="shared" si="0"/>
        <v>1350</v>
      </c>
      <c r="J21" s="16" t="s">
        <v>32</v>
      </c>
      <c r="K21" s="16" t="s">
        <v>32</v>
      </c>
      <c r="L21" s="16" t="s">
        <v>1361</v>
      </c>
      <c r="M21" s="16"/>
      <c r="N21" s="16"/>
      <c r="O21" s="16"/>
      <c r="P21" s="16"/>
      <c r="Q21" s="16">
        <v>1</v>
      </c>
    </row>
    <row r="22" spans="1:18" x14ac:dyDescent="0.25">
      <c r="A22" s="16"/>
      <c r="B22" s="16" t="s">
        <v>26</v>
      </c>
      <c r="C22" s="16" t="s">
        <v>515</v>
      </c>
      <c r="D22" s="16" t="s">
        <v>1401</v>
      </c>
      <c r="E22" s="16" t="s">
        <v>517</v>
      </c>
      <c r="F22" s="16" t="s">
        <v>82</v>
      </c>
      <c r="G22" s="17">
        <v>1695</v>
      </c>
      <c r="H22" s="17">
        <v>25</v>
      </c>
      <c r="I22" s="17">
        <f t="shared" si="0"/>
        <v>1670</v>
      </c>
      <c r="J22" s="16" t="s">
        <v>32</v>
      </c>
      <c r="K22" s="16" t="s">
        <v>32</v>
      </c>
      <c r="L22" s="16" t="s">
        <v>1361</v>
      </c>
      <c r="M22" s="16"/>
      <c r="N22" s="16"/>
      <c r="O22" s="16"/>
      <c r="P22" s="16"/>
      <c r="Q22" s="16">
        <v>1</v>
      </c>
    </row>
    <row r="23" spans="1:18" s="21" customFormat="1" x14ac:dyDescent="0.25">
      <c r="A23" s="19"/>
      <c r="B23" s="19" t="s">
        <v>26</v>
      </c>
      <c r="C23" s="19" t="s">
        <v>1402</v>
      </c>
      <c r="D23" s="19" t="s">
        <v>1403</v>
      </c>
      <c r="E23" s="19" t="s">
        <v>1240</v>
      </c>
      <c r="F23" s="19" t="s">
        <v>75</v>
      </c>
      <c r="G23" s="20">
        <v>50</v>
      </c>
      <c r="H23" s="20">
        <v>30</v>
      </c>
      <c r="I23" s="20">
        <f t="shared" si="0"/>
        <v>20</v>
      </c>
      <c r="J23" s="19" t="s">
        <v>32</v>
      </c>
      <c r="K23" s="19" t="s">
        <v>32</v>
      </c>
      <c r="L23" s="19" t="s">
        <v>1361</v>
      </c>
      <c r="M23" s="19" t="s">
        <v>68</v>
      </c>
      <c r="N23" s="19"/>
      <c r="O23" s="19"/>
      <c r="P23" s="19"/>
      <c r="Q23" s="19">
        <v>1</v>
      </c>
    </row>
    <row r="24" spans="1:18" x14ac:dyDescent="0.25">
      <c r="A24" s="16"/>
      <c r="B24" s="16" t="s">
        <v>26</v>
      </c>
      <c r="C24" s="16" t="s">
        <v>1404</v>
      </c>
      <c r="D24" s="16" t="s">
        <v>1405</v>
      </c>
      <c r="E24" s="16" t="s">
        <v>1406</v>
      </c>
      <c r="F24" s="17">
        <v>2</v>
      </c>
      <c r="G24" s="17">
        <v>710</v>
      </c>
      <c r="H24" s="17">
        <v>30</v>
      </c>
      <c r="I24" s="17">
        <f t="shared" si="0"/>
        <v>680</v>
      </c>
      <c r="J24" s="16" t="s">
        <v>32</v>
      </c>
      <c r="K24" s="16" t="s">
        <v>32</v>
      </c>
      <c r="L24" s="16" t="s">
        <v>1361</v>
      </c>
      <c r="M24" s="16"/>
      <c r="N24" s="16"/>
      <c r="O24" s="16"/>
      <c r="P24" s="16"/>
      <c r="Q24" s="16">
        <v>1</v>
      </c>
    </row>
    <row r="25" spans="1:18" x14ac:dyDescent="0.25">
      <c r="A25" s="16"/>
      <c r="B25" s="16" t="s">
        <v>26</v>
      </c>
      <c r="C25" s="16" t="s">
        <v>1407</v>
      </c>
      <c r="D25" s="16" t="s">
        <v>1408</v>
      </c>
      <c r="E25" s="16" t="s">
        <v>1409</v>
      </c>
      <c r="F25" s="17">
        <v>2</v>
      </c>
      <c r="G25" s="17">
        <v>710</v>
      </c>
      <c r="H25" s="17">
        <v>30</v>
      </c>
      <c r="I25" s="17">
        <f t="shared" si="0"/>
        <v>680</v>
      </c>
      <c r="J25" s="16" t="s">
        <v>32</v>
      </c>
      <c r="K25" s="16" t="s">
        <v>32</v>
      </c>
      <c r="L25" s="16" t="s">
        <v>1361</v>
      </c>
      <c r="M25" s="16"/>
      <c r="N25" s="16"/>
      <c r="O25" s="16"/>
      <c r="P25" s="16"/>
      <c r="Q25" s="16">
        <v>1</v>
      </c>
    </row>
    <row r="26" spans="1:18" x14ac:dyDescent="0.25">
      <c r="A26" s="16"/>
      <c r="B26" s="16" t="s">
        <v>26</v>
      </c>
      <c r="C26" s="16" t="s">
        <v>1410</v>
      </c>
      <c r="D26" s="16" t="s">
        <v>1411</v>
      </c>
      <c r="E26" s="16" t="s">
        <v>1412</v>
      </c>
      <c r="F26" s="17">
        <v>2</v>
      </c>
      <c r="G26" s="17">
        <v>710</v>
      </c>
      <c r="H26" s="17">
        <v>30</v>
      </c>
      <c r="I26" s="17">
        <f t="shared" si="0"/>
        <v>680</v>
      </c>
      <c r="J26" s="16" t="s">
        <v>32</v>
      </c>
      <c r="K26" s="16" t="s">
        <v>32</v>
      </c>
      <c r="L26" s="16" t="s">
        <v>1361</v>
      </c>
      <c r="M26" s="16"/>
      <c r="N26" s="16"/>
      <c r="O26" s="16"/>
      <c r="P26" s="16"/>
      <c r="Q26" s="16">
        <v>1</v>
      </c>
    </row>
    <row r="27" spans="1:18" x14ac:dyDescent="0.25">
      <c r="A27" s="16"/>
      <c r="B27" s="16" t="s">
        <v>26</v>
      </c>
      <c r="C27" s="16" t="s">
        <v>1413</v>
      </c>
      <c r="D27" s="16" t="s">
        <v>1414</v>
      </c>
      <c r="E27" s="16" t="s">
        <v>1415</v>
      </c>
      <c r="F27" s="17">
        <v>12</v>
      </c>
      <c r="G27" s="17">
        <v>0</v>
      </c>
      <c r="H27" s="17">
        <v>30</v>
      </c>
      <c r="I27" s="17">
        <f t="shared" si="0"/>
        <v>-30</v>
      </c>
      <c r="J27" s="16" t="s">
        <v>32</v>
      </c>
      <c r="K27" s="16" t="s">
        <v>32</v>
      </c>
      <c r="L27" s="16" t="s">
        <v>1361</v>
      </c>
      <c r="M27" s="18" t="s">
        <v>1416</v>
      </c>
      <c r="N27" s="16"/>
      <c r="O27" s="16"/>
      <c r="P27" s="16"/>
      <c r="Q27" s="16">
        <v>1</v>
      </c>
      <c r="R27" s="10">
        <f>H27</f>
        <v>30</v>
      </c>
    </row>
    <row r="28" spans="1:18" x14ac:dyDescent="0.25">
      <c r="A28" s="16"/>
      <c r="B28" s="16" t="s">
        <v>26</v>
      </c>
      <c r="C28" s="16" t="s">
        <v>1417</v>
      </c>
      <c r="D28" s="16" t="s">
        <v>1418</v>
      </c>
      <c r="E28" s="16" t="s">
        <v>1419</v>
      </c>
      <c r="F28" s="17">
        <v>2</v>
      </c>
      <c r="G28" s="17">
        <v>0</v>
      </c>
      <c r="H28" s="17">
        <v>30</v>
      </c>
      <c r="I28" s="17">
        <f t="shared" si="0"/>
        <v>-30</v>
      </c>
      <c r="J28" s="16" t="s">
        <v>32</v>
      </c>
      <c r="K28" s="16" t="s">
        <v>32</v>
      </c>
      <c r="L28" s="16" t="s">
        <v>1361</v>
      </c>
      <c r="M28" s="16"/>
      <c r="N28" s="16"/>
      <c r="O28" s="16"/>
      <c r="P28" s="16"/>
      <c r="Q28" s="16">
        <v>1</v>
      </c>
      <c r="R28" s="10">
        <f>H28</f>
        <v>30</v>
      </c>
    </row>
    <row r="29" spans="1:18" x14ac:dyDescent="0.25">
      <c r="A29" s="16"/>
      <c r="B29" s="16" t="s">
        <v>26</v>
      </c>
      <c r="C29" s="16" t="s">
        <v>1420</v>
      </c>
      <c r="D29" s="16" t="s">
        <v>1421</v>
      </c>
      <c r="E29" s="16" t="s">
        <v>1422</v>
      </c>
      <c r="F29" s="16" t="s">
        <v>82</v>
      </c>
      <c r="G29" s="17">
        <v>885</v>
      </c>
      <c r="H29" s="17">
        <v>25</v>
      </c>
      <c r="I29" s="17">
        <f t="shared" si="0"/>
        <v>860</v>
      </c>
      <c r="J29" s="16" t="s">
        <v>32</v>
      </c>
      <c r="K29" s="16" t="s">
        <v>32</v>
      </c>
      <c r="L29" s="16" t="s">
        <v>1361</v>
      </c>
      <c r="M29" s="16"/>
      <c r="N29" s="16"/>
      <c r="O29" s="16"/>
      <c r="P29" s="16"/>
      <c r="Q29" s="16">
        <v>1</v>
      </c>
    </row>
    <row r="30" spans="1:18" x14ac:dyDescent="0.25">
      <c r="A30" s="16" t="s">
        <v>141</v>
      </c>
      <c r="B30" s="16" t="s">
        <v>26</v>
      </c>
      <c r="C30" s="16" t="s">
        <v>553</v>
      </c>
      <c r="D30" s="16"/>
      <c r="E30" s="16" t="s">
        <v>1423</v>
      </c>
      <c r="F30" s="16" t="s">
        <v>93</v>
      </c>
      <c r="G30" s="17">
        <v>30</v>
      </c>
      <c r="H30" s="17">
        <v>30</v>
      </c>
      <c r="I30" s="17">
        <f t="shared" si="0"/>
        <v>0</v>
      </c>
      <c r="J30" s="16" t="s">
        <v>32</v>
      </c>
      <c r="K30" s="16" t="s">
        <v>32</v>
      </c>
      <c r="L30" s="16" t="s">
        <v>1361</v>
      </c>
      <c r="M30" s="16"/>
      <c r="N30" s="16"/>
      <c r="O30" s="16"/>
      <c r="P30" s="16"/>
      <c r="Q30" s="16">
        <v>1</v>
      </c>
    </row>
    <row r="31" spans="1:18" x14ac:dyDescent="0.25">
      <c r="A31" s="16" t="s">
        <v>141</v>
      </c>
      <c r="B31" s="16" t="s">
        <v>26</v>
      </c>
      <c r="C31" s="16" t="s">
        <v>1424</v>
      </c>
      <c r="D31" s="16"/>
      <c r="E31" s="16" t="s">
        <v>1425</v>
      </c>
      <c r="F31" s="16" t="s">
        <v>75</v>
      </c>
      <c r="G31" s="17">
        <v>0</v>
      </c>
      <c r="H31" s="17">
        <v>25</v>
      </c>
      <c r="I31" s="17">
        <f t="shared" si="0"/>
        <v>-25</v>
      </c>
      <c r="J31" s="16" t="s">
        <v>32</v>
      </c>
      <c r="K31" s="16" t="s">
        <v>32</v>
      </c>
      <c r="L31" s="16" t="s">
        <v>1361</v>
      </c>
      <c r="M31" s="16"/>
      <c r="N31" s="16"/>
      <c r="O31" s="16"/>
      <c r="P31" s="16"/>
      <c r="Q31" s="16">
        <v>1</v>
      </c>
      <c r="R31" s="10">
        <f>H31</f>
        <v>25</v>
      </c>
    </row>
    <row r="32" spans="1:18" x14ac:dyDescent="0.25">
      <c r="A32" s="16" t="s">
        <v>141</v>
      </c>
      <c r="B32" s="16" t="s">
        <v>26</v>
      </c>
      <c r="C32" s="16" t="s">
        <v>1426</v>
      </c>
      <c r="D32" s="16"/>
      <c r="E32" s="16" t="s">
        <v>1427</v>
      </c>
      <c r="F32" s="16" t="s">
        <v>82</v>
      </c>
      <c r="G32" s="17">
        <v>30</v>
      </c>
      <c r="H32" s="17">
        <v>30</v>
      </c>
      <c r="I32" s="17">
        <f t="shared" si="0"/>
        <v>0</v>
      </c>
      <c r="J32" s="16" t="s">
        <v>32</v>
      </c>
      <c r="K32" s="16" t="s">
        <v>32</v>
      </c>
      <c r="L32" s="16" t="s">
        <v>1361</v>
      </c>
      <c r="M32" s="16"/>
      <c r="N32" s="16"/>
      <c r="O32" s="16"/>
      <c r="P32" s="16"/>
      <c r="Q32" s="16">
        <v>1</v>
      </c>
    </row>
    <row r="33" spans="1:18" x14ac:dyDescent="0.25">
      <c r="A33" s="16" t="s">
        <v>141</v>
      </c>
      <c r="B33" s="16" t="s">
        <v>26</v>
      </c>
      <c r="C33" s="16" t="s">
        <v>992</v>
      </c>
      <c r="D33" s="16"/>
      <c r="E33" s="16" t="s">
        <v>993</v>
      </c>
      <c r="F33" s="16" t="s">
        <v>93</v>
      </c>
      <c r="G33" s="17">
        <v>0</v>
      </c>
      <c r="H33" s="17">
        <v>30</v>
      </c>
      <c r="I33" s="17">
        <f t="shared" si="0"/>
        <v>-30</v>
      </c>
      <c r="J33" s="16" t="s">
        <v>32</v>
      </c>
      <c r="K33" s="16" t="s">
        <v>32</v>
      </c>
      <c r="L33" s="16" t="s">
        <v>1361</v>
      </c>
      <c r="M33" s="16"/>
      <c r="N33" s="16"/>
      <c r="O33" s="16"/>
      <c r="P33" s="16"/>
      <c r="Q33" s="16">
        <v>1</v>
      </c>
      <c r="R33" s="10">
        <f>H33</f>
        <v>30</v>
      </c>
    </row>
    <row r="34" spans="1:18" x14ac:dyDescent="0.25">
      <c r="A34" s="16"/>
      <c r="B34" s="16" t="s">
        <v>26</v>
      </c>
      <c r="C34" s="16" t="s">
        <v>1428</v>
      </c>
      <c r="D34" s="16" t="s">
        <v>1429</v>
      </c>
      <c r="E34" s="16" t="s">
        <v>1430</v>
      </c>
      <c r="F34" s="17">
        <v>2</v>
      </c>
      <c r="G34" s="17">
        <v>720</v>
      </c>
      <c r="H34" s="17">
        <v>30</v>
      </c>
      <c r="I34" s="17">
        <f t="shared" si="0"/>
        <v>690</v>
      </c>
      <c r="J34" s="16" t="s">
        <v>32</v>
      </c>
      <c r="K34" s="16" t="s">
        <v>32</v>
      </c>
      <c r="L34" s="16" t="s">
        <v>1361</v>
      </c>
      <c r="M34" s="16"/>
      <c r="N34" s="16"/>
      <c r="O34" s="16"/>
      <c r="P34" s="16"/>
      <c r="Q34" s="16">
        <v>1</v>
      </c>
    </row>
    <row r="35" spans="1:18" x14ac:dyDescent="0.25">
      <c r="A35" s="16"/>
      <c r="B35" s="16" t="s">
        <v>26</v>
      </c>
      <c r="C35" s="16" t="s">
        <v>1431</v>
      </c>
      <c r="D35" s="16" t="s">
        <v>1432</v>
      </c>
      <c r="E35" s="16" t="s">
        <v>1433</v>
      </c>
      <c r="F35" s="17">
        <v>8</v>
      </c>
      <c r="G35" s="17">
        <v>710</v>
      </c>
      <c r="H35" s="17">
        <v>30</v>
      </c>
      <c r="I35" s="17">
        <f t="shared" si="0"/>
        <v>680</v>
      </c>
      <c r="J35" s="16" t="s">
        <v>103</v>
      </c>
      <c r="K35" s="16" t="s">
        <v>32</v>
      </c>
      <c r="L35" s="16" t="s">
        <v>1361</v>
      </c>
      <c r="M35" s="16"/>
      <c r="N35" s="16"/>
      <c r="O35" s="16"/>
      <c r="P35" s="16"/>
      <c r="Q35" s="16">
        <v>1</v>
      </c>
    </row>
    <row r="36" spans="1:18" x14ac:dyDescent="0.25">
      <c r="A36" s="16"/>
      <c r="B36" s="16" t="s">
        <v>26</v>
      </c>
      <c r="C36" s="16" t="s">
        <v>1434</v>
      </c>
      <c r="D36" s="16" t="s">
        <v>1435</v>
      </c>
      <c r="E36" s="16" t="s">
        <v>1436</v>
      </c>
      <c r="F36" s="17">
        <v>7</v>
      </c>
      <c r="G36" s="17">
        <v>710</v>
      </c>
      <c r="H36" s="17">
        <v>30</v>
      </c>
      <c r="I36" s="17">
        <f t="shared" si="0"/>
        <v>680</v>
      </c>
      <c r="J36" s="16" t="s">
        <v>103</v>
      </c>
      <c r="K36" s="16" t="s">
        <v>32</v>
      </c>
      <c r="L36" s="16" t="s">
        <v>1361</v>
      </c>
      <c r="M36" s="16"/>
      <c r="N36" s="16"/>
      <c r="O36" s="16"/>
      <c r="P36" s="16"/>
      <c r="Q36" s="16">
        <v>1</v>
      </c>
    </row>
    <row r="37" spans="1:18" x14ac:dyDescent="0.25">
      <c r="A37" s="16"/>
      <c r="B37" s="16" t="s">
        <v>26</v>
      </c>
      <c r="C37" s="16" t="s">
        <v>1437</v>
      </c>
      <c r="D37" s="16" t="s">
        <v>1438</v>
      </c>
      <c r="E37" s="16" t="s">
        <v>1439</v>
      </c>
      <c r="F37" s="17">
        <v>10</v>
      </c>
      <c r="G37" s="17">
        <v>3020</v>
      </c>
      <c r="H37" s="17">
        <v>35</v>
      </c>
      <c r="I37" s="17">
        <f t="shared" si="0"/>
        <v>2985</v>
      </c>
      <c r="J37" s="16" t="s">
        <v>103</v>
      </c>
      <c r="K37" s="16" t="s">
        <v>32</v>
      </c>
      <c r="L37" s="16" t="s">
        <v>1361</v>
      </c>
      <c r="M37" s="18" t="s">
        <v>55</v>
      </c>
      <c r="N37" s="16"/>
      <c r="O37" s="16"/>
      <c r="P37" s="16"/>
      <c r="Q37" s="16">
        <v>1</v>
      </c>
      <c r="R37" s="10">
        <f>H37</f>
        <v>35</v>
      </c>
    </row>
    <row r="38" spans="1:18" x14ac:dyDescent="0.25">
      <c r="A38" s="16"/>
      <c r="B38" s="16" t="s">
        <v>26</v>
      </c>
      <c r="C38" s="16" t="s">
        <v>1440</v>
      </c>
      <c r="D38" s="16" t="s">
        <v>1441</v>
      </c>
      <c r="E38" s="16" t="s">
        <v>1442</v>
      </c>
      <c r="F38" s="17">
        <v>5</v>
      </c>
      <c r="G38" s="17">
        <v>805</v>
      </c>
      <c r="H38" s="17">
        <v>25</v>
      </c>
      <c r="I38" s="17">
        <f t="shared" si="0"/>
        <v>780</v>
      </c>
      <c r="J38" s="16" t="s">
        <v>103</v>
      </c>
      <c r="K38" s="16" t="s">
        <v>32</v>
      </c>
      <c r="L38" s="16" t="s">
        <v>1361</v>
      </c>
      <c r="M38" s="16"/>
      <c r="N38" s="16"/>
      <c r="O38" s="16"/>
      <c r="P38" s="16"/>
      <c r="Q38" s="16">
        <v>1</v>
      </c>
    </row>
    <row r="39" spans="1:18" x14ac:dyDescent="0.25">
      <c r="A39" s="16"/>
      <c r="B39" s="16" t="s">
        <v>26</v>
      </c>
      <c r="C39" s="16" t="s">
        <v>1443</v>
      </c>
      <c r="D39" s="16" t="s">
        <v>1444</v>
      </c>
      <c r="E39" s="16" t="s">
        <v>1445</v>
      </c>
      <c r="F39" s="16" t="s">
        <v>93</v>
      </c>
      <c r="G39" s="17">
        <v>1063</v>
      </c>
      <c r="H39" s="17">
        <v>25</v>
      </c>
      <c r="I39" s="17">
        <f t="shared" si="0"/>
        <v>1038</v>
      </c>
      <c r="J39" s="16" t="s">
        <v>103</v>
      </c>
      <c r="K39" s="16" t="s">
        <v>32</v>
      </c>
      <c r="L39" s="16" t="s">
        <v>1361</v>
      </c>
      <c r="M39" s="16"/>
      <c r="N39" s="16"/>
      <c r="O39" s="16"/>
      <c r="P39" s="16"/>
      <c r="Q39" s="16">
        <v>1</v>
      </c>
    </row>
    <row r="40" spans="1:18" x14ac:dyDescent="0.25">
      <c r="A40" s="16"/>
      <c r="B40" s="16" t="s">
        <v>26</v>
      </c>
      <c r="C40" s="16" t="s">
        <v>1446</v>
      </c>
      <c r="D40" s="16" t="s">
        <v>1447</v>
      </c>
      <c r="E40" s="16" t="s">
        <v>1448</v>
      </c>
      <c r="F40" s="17">
        <v>1</v>
      </c>
      <c r="G40" s="17">
        <v>805</v>
      </c>
      <c r="H40" s="17">
        <v>25</v>
      </c>
      <c r="I40" s="17">
        <f t="shared" si="0"/>
        <v>780</v>
      </c>
      <c r="J40" s="16" t="s">
        <v>103</v>
      </c>
      <c r="K40" s="16" t="s">
        <v>32</v>
      </c>
      <c r="L40" s="16" t="s">
        <v>1361</v>
      </c>
      <c r="M40" s="16"/>
      <c r="N40" s="16"/>
      <c r="O40" s="16"/>
      <c r="P40" s="16"/>
      <c r="Q40" s="16">
        <v>1</v>
      </c>
    </row>
    <row r="41" spans="1:18" x14ac:dyDescent="0.25">
      <c r="A41" s="16"/>
      <c r="B41" s="16" t="s">
        <v>26</v>
      </c>
      <c r="C41" s="16" t="s">
        <v>1449</v>
      </c>
      <c r="D41" s="16" t="s">
        <v>1450</v>
      </c>
      <c r="E41" s="16" t="s">
        <v>1451</v>
      </c>
      <c r="F41" s="17">
        <v>10</v>
      </c>
      <c r="G41" s="17">
        <v>705</v>
      </c>
      <c r="H41" s="17">
        <v>25</v>
      </c>
      <c r="I41" s="17">
        <f t="shared" si="0"/>
        <v>680</v>
      </c>
      <c r="J41" s="16" t="s">
        <v>103</v>
      </c>
      <c r="K41" s="16" t="s">
        <v>32</v>
      </c>
      <c r="L41" s="16" t="s">
        <v>1361</v>
      </c>
      <c r="M41" s="16"/>
      <c r="N41" s="16"/>
      <c r="O41" s="16"/>
      <c r="P41" s="16"/>
      <c r="Q41" s="16">
        <v>1</v>
      </c>
    </row>
    <row r="42" spans="1:18" x14ac:dyDescent="0.25">
      <c r="A42" s="16"/>
      <c r="B42" s="16" t="s">
        <v>26</v>
      </c>
      <c r="C42" s="16" t="s">
        <v>426</v>
      </c>
      <c r="D42" s="16" t="s">
        <v>1452</v>
      </c>
      <c r="E42" s="16" t="s">
        <v>1453</v>
      </c>
      <c r="F42" s="17">
        <v>7</v>
      </c>
      <c r="G42" s="17">
        <v>710</v>
      </c>
      <c r="H42" s="17">
        <v>30</v>
      </c>
      <c r="I42" s="17">
        <f t="shared" si="0"/>
        <v>680</v>
      </c>
      <c r="J42" s="16" t="s">
        <v>103</v>
      </c>
      <c r="K42" s="16" t="s">
        <v>32</v>
      </c>
      <c r="L42" s="16" t="s">
        <v>1361</v>
      </c>
      <c r="M42" s="16"/>
      <c r="N42" s="16"/>
      <c r="O42" s="16"/>
      <c r="P42" s="16"/>
      <c r="Q42" s="16">
        <v>1</v>
      </c>
    </row>
    <row r="43" spans="1:18" x14ac:dyDescent="0.25">
      <c r="A43" s="16"/>
      <c r="B43" s="16" t="s">
        <v>26</v>
      </c>
      <c r="C43" s="16" t="s">
        <v>1454</v>
      </c>
      <c r="D43" s="16" t="s">
        <v>1455</v>
      </c>
      <c r="E43" s="16" t="s">
        <v>1456</v>
      </c>
      <c r="F43" s="17">
        <v>1</v>
      </c>
      <c r="G43" s="17">
        <v>965</v>
      </c>
      <c r="H43" s="17">
        <v>25</v>
      </c>
      <c r="I43" s="17">
        <f t="shared" si="0"/>
        <v>940</v>
      </c>
      <c r="J43" s="16" t="s">
        <v>103</v>
      </c>
      <c r="K43" s="16" t="s">
        <v>32</v>
      </c>
      <c r="L43" s="16" t="s">
        <v>1361</v>
      </c>
      <c r="M43" s="16"/>
      <c r="N43" s="16"/>
      <c r="O43" s="16"/>
      <c r="P43" s="16"/>
      <c r="Q43" s="16">
        <v>1</v>
      </c>
    </row>
    <row r="44" spans="1:18" x14ac:dyDescent="0.25">
      <c r="A44" s="16"/>
      <c r="B44" s="16" t="s">
        <v>26</v>
      </c>
      <c r="C44" s="16" t="s">
        <v>1457</v>
      </c>
      <c r="D44" s="16" t="s">
        <v>1458</v>
      </c>
      <c r="E44" s="16" t="s">
        <v>1459</v>
      </c>
      <c r="F44" s="17">
        <v>8</v>
      </c>
      <c r="G44" s="17">
        <v>710</v>
      </c>
      <c r="H44" s="17">
        <v>30</v>
      </c>
      <c r="I44" s="17">
        <f t="shared" si="0"/>
        <v>680</v>
      </c>
      <c r="J44" s="16" t="s">
        <v>103</v>
      </c>
      <c r="K44" s="16" t="s">
        <v>32</v>
      </c>
      <c r="L44" s="16" t="s">
        <v>1361</v>
      </c>
      <c r="M44" s="16"/>
      <c r="N44" s="16"/>
      <c r="O44" s="16"/>
      <c r="P44" s="16"/>
      <c r="Q44" s="16">
        <v>1</v>
      </c>
    </row>
    <row r="45" spans="1:18" x14ac:dyDescent="0.25">
      <c r="A45" s="16"/>
      <c r="B45" s="16" t="s">
        <v>26</v>
      </c>
      <c r="C45" s="16" t="s">
        <v>1460</v>
      </c>
      <c r="D45" s="16" t="s">
        <v>1461</v>
      </c>
      <c r="E45" s="16" t="s">
        <v>1462</v>
      </c>
      <c r="F45" s="17">
        <v>8</v>
      </c>
      <c r="G45" s="17">
        <v>710</v>
      </c>
      <c r="H45" s="17">
        <v>30</v>
      </c>
      <c r="I45" s="17">
        <f t="shared" si="0"/>
        <v>680</v>
      </c>
      <c r="J45" s="16" t="s">
        <v>103</v>
      </c>
      <c r="K45" s="16" t="s">
        <v>32</v>
      </c>
      <c r="L45" s="16" t="s">
        <v>1361</v>
      </c>
      <c r="M45" s="16"/>
      <c r="N45" s="16"/>
      <c r="O45" s="16"/>
      <c r="P45" s="16"/>
      <c r="Q45" s="16">
        <v>1</v>
      </c>
    </row>
    <row r="46" spans="1:18" x14ac:dyDescent="0.25">
      <c r="A46" s="16" t="s">
        <v>141</v>
      </c>
      <c r="B46" s="16" t="s">
        <v>26</v>
      </c>
      <c r="C46" s="16" t="s">
        <v>946</v>
      </c>
      <c r="D46" s="16"/>
      <c r="E46" s="16" t="s">
        <v>947</v>
      </c>
      <c r="F46" s="17">
        <v>1</v>
      </c>
      <c r="G46" s="17">
        <v>0</v>
      </c>
      <c r="H46" s="17">
        <v>30</v>
      </c>
      <c r="I46" s="17">
        <f t="shared" si="0"/>
        <v>-30</v>
      </c>
      <c r="J46" s="16" t="s">
        <v>103</v>
      </c>
      <c r="K46" s="16" t="s">
        <v>32</v>
      </c>
      <c r="L46" s="16" t="s">
        <v>1361</v>
      </c>
      <c r="M46" s="16"/>
      <c r="N46" s="16"/>
      <c r="O46" s="16"/>
      <c r="P46" s="16"/>
      <c r="Q46" s="16">
        <v>1</v>
      </c>
      <c r="R46" s="10">
        <f>H46</f>
        <v>30</v>
      </c>
    </row>
    <row r="47" spans="1:18" s="2" customFormat="1" x14ac:dyDescent="0.25">
      <c r="A47" s="23"/>
      <c r="B47" s="23" t="s">
        <v>26</v>
      </c>
      <c r="C47" s="23" t="s">
        <v>1260</v>
      </c>
      <c r="D47" s="23" t="s">
        <v>1261</v>
      </c>
      <c r="E47" s="23" t="s">
        <v>1262</v>
      </c>
      <c r="F47" s="26" t="s">
        <v>40</v>
      </c>
      <c r="G47" s="23">
        <v>875</v>
      </c>
      <c r="H47" s="23">
        <v>0</v>
      </c>
      <c r="I47" s="23">
        <f t="shared" si="0"/>
        <v>875</v>
      </c>
      <c r="J47" s="23" t="s">
        <v>269</v>
      </c>
      <c r="K47" s="23" t="s">
        <v>32</v>
      </c>
      <c r="L47" s="23" t="s">
        <v>1222</v>
      </c>
      <c r="M47" s="23" t="s">
        <v>160</v>
      </c>
      <c r="N47" s="23" t="s">
        <v>271</v>
      </c>
      <c r="O47" s="23" t="s">
        <v>271</v>
      </c>
      <c r="P47" s="23" t="s">
        <v>272</v>
      </c>
      <c r="Q47" s="23">
        <v>1</v>
      </c>
    </row>
    <row r="49" spans="1:17" x14ac:dyDescent="0.25">
      <c r="D49" s="1">
        <f>COUNTA(D3:D47)</f>
        <v>38</v>
      </c>
      <c r="G49" s="1">
        <f t="shared" ref="G49:Q49" si="1">SUBTOTAL(9,G3:G47)</f>
        <v>29783</v>
      </c>
      <c r="H49" s="1">
        <f t="shared" si="1"/>
        <v>1260</v>
      </c>
      <c r="I49" s="1">
        <f t="shared" si="1"/>
        <v>28523</v>
      </c>
      <c r="J49" s="1">
        <f t="shared" si="1"/>
        <v>0</v>
      </c>
      <c r="K49" s="1">
        <f t="shared" si="1"/>
        <v>0</v>
      </c>
      <c r="L49" s="1">
        <f t="shared" si="1"/>
        <v>0</v>
      </c>
      <c r="M49" s="1">
        <f t="shared" si="1"/>
        <v>0</v>
      </c>
      <c r="N49" s="1">
        <f t="shared" si="1"/>
        <v>0</v>
      </c>
      <c r="O49" s="1">
        <f t="shared" si="1"/>
        <v>0</v>
      </c>
      <c r="P49" s="1">
        <f t="shared" si="1"/>
        <v>0</v>
      </c>
      <c r="Q49" s="1">
        <f t="shared" si="1"/>
        <v>45</v>
      </c>
    </row>
    <row r="50" spans="1:17" x14ac:dyDescent="0.25">
      <c r="H50">
        <f>-5*17</f>
        <v>-85</v>
      </c>
    </row>
    <row r="51" spans="1:17" x14ac:dyDescent="0.25">
      <c r="A51" s="1" t="s">
        <v>26</v>
      </c>
      <c r="C51" s="34" t="s">
        <v>144</v>
      </c>
      <c r="D51" s="34"/>
      <c r="E51" s="4" t="s">
        <v>145</v>
      </c>
      <c r="H51">
        <f>-6*25</f>
        <v>-150</v>
      </c>
      <c r="K51" s="11" t="s">
        <v>103</v>
      </c>
      <c r="L51" s="11" t="s">
        <v>146</v>
      </c>
      <c r="M51" s="11" t="s">
        <v>145</v>
      </c>
      <c r="O51" s="4" t="s">
        <v>147</v>
      </c>
    </row>
    <row r="52" spans="1:17" x14ac:dyDescent="0.25">
      <c r="A52" t="s">
        <v>1361</v>
      </c>
      <c r="B52" s="3" t="s">
        <v>148</v>
      </c>
      <c r="C52" s="35">
        <f>SUMIFS(I$3:I$47,B$3:B$47,A$51,L$3:L$47,A$52)</f>
        <v>27648</v>
      </c>
      <c r="D52" s="35"/>
      <c r="E52" s="3">
        <f>SUMIFS(Q$3:Q$47,B$3:B$47,A$51,L$3:L$47,A$52)</f>
        <v>44</v>
      </c>
      <c r="F52" t="s">
        <v>149</v>
      </c>
      <c r="H52">
        <f>-2*30</f>
        <v>-60</v>
      </c>
      <c r="K52" t="s">
        <v>150</v>
      </c>
      <c r="L52">
        <f>SUMIFS(G$3:G$47,J$3:J$47,K$51)</f>
        <v>10913</v>
      </c>
      <c r="M52">
        <f>SUMIFS(Q$3:Q$47,J$3:J$47,K$51)-INT(COUNTIFS(J$3:J$47,K$51,M$3:M$47,"*gộp*")/2)</f>
        <v>12</v>
      </c>
      <c r="O52" t="s">
        <v>103</v>
      </c>
      <c r="P52">
        <f>L57</f>
        <v>9758</v>
      </c>
    </row>
    <row r="53" spans="1:17" x14ac:dyDescent="0.25">
      <c r="B53" s="2" t="s">
        <v>152</v>
      </c>
      <c r="C53" s="36">
        <v>0</v>
      </c>
      <c r="D53" s="36"/>
      <c r="K53" t="s">
        <v>153</v>
      </c>
      <c r="L53">
        <f>-SUMIFS(H$3:H$47,J$3:J$47,K$51)+M53*5</f>
        <v>-280</v>
      </c>
      <c r="M53">
        <f>SUMIFS(Q$3:Q$47,J$3:J$47,K$51)-INT(COUNTIFS(J$3:J$47,K$51,M$3:M$47,"*gộp*")/2)</f>
        <v>12</v>
      </c>
      <c r="O53" t="s">
        <v>1463</v>
      </c>
      <c r="P53">
        <f>L65</f>
        <v>8570</v>
      </c>
    </row>
    <row r="54" spans="1:17" x14ac:dyDescent="0.25">
      <c r="B54" s="2" t="s">
        <v>154</v>
      </c>
      <c r="C54" s="36">
        <f>-SUMIFS(I$3:I$47,B$3:B$47,A$51,P$3:P$47,"xx",N$3:N$47,"x")</f>
        <v>-875</v>
      </c>
      <c r="D54" s="36"/>
      <c r="E54" s="2">
        <f>SUMIFS(Q$3:Q$47,B$3:B$47,A$51,P$3:P$47,"xx",N$3:N$47,"x")</f>
        <v>1</v>
      </c>
      <c r="K54" t="s">
        <v>155</v>
      </c>
      <c r="O54" t="s">
        <v>32</v>
      </c>
      <c r="P54">
        <f>L73</f>
        <v>8617</v>
      </c>
    </row>
    <row r="55" spans="1:17" x14ac:dyDescent="0.25">
      <c r="B55" s="4" t="s">
        <v>156</v>
      </c>
      <c r="C55" s="34">
        <f>SUBTOTAL(9,C52:C54)</f>
        <v>26773</v>
      </c>
      <c r="D55" s="34"/>
      <c r="E55">
        <f>E52</f>
        <v>44</v>
      </c>
      <c r="K55" s="12" t="s">
        <v>157</v>
      </c>
      <c r="O55" t="s">
        <v>158</v>
      </c>
      <c r="P55">
        <f>-C59</f>
        <v>-26773</v>
      </c>
    </row>
    <row r="56" spans="1:17" x14ac:dyDescent="0.25">
      <c r="B56" s="2" t="s">
        <v>159</v>
      </c>
      <c r="C56" s="32"/>
      <c r="D56" s="32"/>
      <c r="K56" s="2" t="s">
        <v>160</v>
      </c>
      <c r="L56" s="25">
        <v>-875</v>
      </c>
      <c r="M56" s="25" t="s">
        <v>274</v>
      </c>
      <c r="O56" s="4" t="s">
        <v>161</v>
      </c>
      <c r="P56" s="4">
        <f>SUBTOTAL(9,P52:P55)</f>
        <v>172</v>
      </c>
    </row>
    <row r="57" spans="1:17" x14ac:dyDescent="0.25">
      <c r="B57" s="13" t="s">
        <v>162</v>
      </c>
      <c r="C57" s="32"/>
      <c r="D57" s="32"/>
      <c r="L57" s="14">
        <f>SUBTOTAL(9,L52:L56)</f>
        <v>9758</v>
      </c>
      <c r="M57" s="14">
        <f>M52</f>
        <v>12</v>
      </c>
    </row>
    <row r="59" spans="1:17" x14ac:dyDescent="0.25">
      <c r="B59" s="1" t="s">
        <v>163</v>
      </c>
      <c r="C59" s="33">
        <f>C55+C56+C57</f>
        <v>26773</v>
      </c>
      <c r="D59" s="33"/>
      <c r="E59" s="1" t="s">
        <v>164</v>
      </c>
      <c r="K59" s="11" t="s">
        <v>1360</v>
      </c>
      <c r="L59" s="11" t="s">
        <v>146</v>
      </c>
      <c r="M59" s="11" t="s">
        <v>145</v>
      </c>
    </row>
    <row r="60" spans="1:17" x14ac:dyDescent="0.25">
      <c r="K60" t="s">
        <v>150</v>
      </c>
      <c r="L60">
        <f>SUMIFS(G$3:G$47,J$3:J$47,K$59)</f>
        <v>8865</v>
      </c>
      <c r="M60">
        <f>SUMIFS(Q$3:Q$47,J$3:J$47,K$59)-INT(COUNTIFS(J$3:J$47,K$59,M$3:M$47,"*gộp*")/2)</f>
        <v>13</v>
      </c>
    </row>
    <row r="61" spans="1:17" x14ac:dyDescent="0.25">
      <c r="K61" t="s">
        <v>153</v>
      </c>
      <c r="L61">
        <f>SUM(H50:H52)</f>
        <v>-295</v>
      </c>
      <c r="M61">
        <f>SUMIFS(Q$3:Q$47,J$3:J$47,K$59)-INT(COUNTIFS(J$3:J$47,K$59,M$3:M$47,"*gộp*")/2)</f>
        <v>13</v>
      </c>
    </row>
    <row r="62" spans="1:17" x14ac:dyDescent="0.25">
      <c r="K62" t="s">
        <v>155</v>
      </c>
    </row>
    <row r="63" spans="1:17" x14ac:dyDescent="0.25">
      <c r="K63" s="12" t="s">
        <v>157</v>
      </c>
    </row>
    <row r="64" spans="1:17" x14ac:dyDescent="0.25">
      <c r="K64" s="2" t="s">
        <v>160</v>
      </c>
    </row>
    <row r="65" spans="11:13" x14ac:dyDescent="0.25">
      <c r="L65" s="14">
        <f>SUBTOTAL(9,L60:L64)</f>
        <v>8570</v>
      </c>
      <c r="M65" s="14">
        <f>M60</f>
        <v>13</v>
      </c>
    </row>
    <row r="67" spans="11:13" x14ac:dyDescent="0.25">
      <c r="K67" s="11" t="s">
        <v>32</v>
      </c>
      <c r="L67" s="11" t="s">
        <v>146</v>
      </c>
      <c r="M67" s="11" t="s">
        <v>145</v>
      </c>
    </row>
    <row r="68" spans="11:13" x14ac:dyDescent="0.25">
      <c r="K68" t="s">
        <v>150</v>
      </c>
      <c r="L68">
        <f>SUMIFS(G$3:G$47,J$3:J$47,K$67)</f>
        <v>9130</v>
      </c>
      <c r="M68">
        <f>SUMIFS(Q$3:Q$47,J$3:J$47,K$67)-INT(COUNTIFS(J$3:J$47,K$67,M$3:M$47,"*gộp*")/2)</f>
        <v>19</v>
      </c>
    </row>
    <row r="69" spans="11:13" x14ac:dyDescent="0.25">
      <c r="K69" t="s">
        <v>153</v>
      </c>
      <c r="L69">
        <f>-SUMIFS(H$3:H$47,J$3:J$47,K$67)+M69*5</f>
        <v>-425</v>
      </c>
      <c r="M69">
        <f>SUMIFS(Q$3:Q$47,J$3:J$47,K$67)-INT(COUNTIFS(J$3:J$47,K$67,M$3:M$47,"*gộp*")/2)</f>
        <v>19</v>
      </c>
    </row>
    <row r="70" spans="11:13" x14ac:dyDescent="0.25">
      <c r="K70" t="s">
        <v>155</v>
      </c>
      <c r="L70">
        <f>-M70*2</f>
        <v>-88</v>
      </c>
      <c r="M70">
        <f>E55-(COUNTIFS(M$3:M$47,"*gộp*")/2)-COUNTIFS(M$3:M$47,"*đơn trả*")-COUNTIFS(M$3:M$47,"*hàng tỉnh*")</f>
        <v>44</v>
      </c>
    </row>
    <row r="71" spans="11:13" x14ac:dyDescent="0.25">
      <c r="K71" s="12" t="s">
        <v>157</v>
      </c>
    </row>
    <row r="72" spans="11:13" x14ac:dyDescent="0.25">
      <c r="K72" s="2" t="s">
        <v>160</v>
      </c>
    </row>
    <row r="73" spans="11:13" x14ac:dyDescent="0.25">
      <c r="L73" s="14">
        <f>SUBTOTAL(9,L68:L72)</f>
        <v>8617</v>
      </c>
      <c r="M73" s="14">
        <f>M68</f>
        <v>19</v>
      </c>
    </row>
  </sheetData>
  <autoFilter ref="A2:P47" xr:uid="{00000000-0009-0000-0000-00000F000000}">
    <sortState xmlns:xlrd2="http://schemas.microsoft.com/office/spreadsheetml/2017/richdata2" ref="A3:P47">
      <sortCondition ref="J2:J47"/>
    </sortState>
  </autoFilter>
  <mergeCells count="8">
    <mergeCell ref="C56:D56"/>
    <mergeCell ref="C57:D57"/>
    <mergeCell ref="C59:D59"/>
    <mergeCell ref="C51:D51"/>
    <mergeCell ref="C52:D52"/>
    <mergeCell ref="C53:D53"/>
    <mergeCell ref="C54:D54"/>
    <mergeCell ref="C55:D55"/>
  </mergeCells>
  <pageMargins left="0.75" right="0.75" top="0.75" bottom="0.5" header="0.5" footer="0.7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R63"/>
  <sheetViews>
    <sheetView topLeftCell="A25" workbookViewId="0">
      <selection activeCell="C47" sqref="C47 C47:D47"/>
    </sheetView>
  </sheetViews>
  <sheetFormatPr defaultRowHeight="15" x14ac:dyDescent="0.25"/>
  <cols>
    <col min="1" max="1" width="12.7109375" customWidth="1"/>
    <col min="2" max="2" width="17.7109375" customWidth="1"/>
    <col min="3" max="3" width="20.140625" customWidth="1"/>
    <col min="4" max="4" width="9.85546875" customWidth="1"/>
    <col min="5" max="5" width="81.140625" customWidth="1"/>
    <col min="6" max="6" width="10.855468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0.42578125" customWidth="1"/>
    <col min="13" max="13" width="16.140625" customWidth="1"/>
    <col min="14" max="14" width="9.7109375" customWidth="1"/>
    <col min="15" max="15" width="10.42578125" customWidth="1"/>
    <col min="16" max="16" width="7" bestFit="1" customWidth="1"/>
  </cols>
  <sheetData>
    <row r="2" spans="1:18" x14ac:dyDescent="0.25">
      <c r="A2" s="15" t="s">
        <v>10</v>
      </c>
      <c r="B2" s="15" t="s">
        <v>11</v>
      </c>
      <c r="C2" s="15" t="s">
        <v>12</v>
      </c>
      <c r="D2" s="15" t="s">
        <v>13</v>
      </c>
      <c r="E2" s="15" t="s">
        <v>14</v>
      </c>
      <c r="F2" s="15" t="s">
        <v>15</v>
      </c>
      <c r="G2" s="15" t="s">
        <v>16</v>
      </c>
      <c r="H2" s="15" t="s">
        <v>17</v>
      </c>
      <c r="I2" s="15" t="s">
        <v>18</v>
      </c>
      <c r="J2" s="15" t="s">
        <v>19</v>
      </c>
      <c r="K2" s="15" t="s">
        <v>20</v>
      </c>
      <c r="L2" s="15" t="s">
        <v>21</v>
      </c>
      <c r="M2" s="15" t="s">
        <v>22</v>
      </c>
      <c r="N2" s="15" t="s">
        <v>23</v>
      </c>
      <c r="O2" s="15" t="s">
        <v>24</v>
      </c>
      <c r="P2" s="15" t="s">
        <v>25</v>
      </c>
      <c r="Q2" s="16"/>
    </row>
    <row r="3" spans="1:18" x14ac:dyDescent="0.25">
      <c r="A3" s="16"/>
      <c r="B3" s="16" t="s">
        <v>26</v>
      </c>
      <c r="C3" s="16" t="s">
        <v>1464</v>
      </c>
      <c r="D3" s="16" t="s">
        <v>1465</v>
      </c>
      <c r="E3" s="16" t="s">
        <v>1466</v>
      </c>
      <c r="F3" s="16" t="s">
        <v>30</v>
      </c>
      <c r="G3" s="17">
        <v>0</v>
      </c>
      <c r="H3" s="17">
        <v>25</v>
      </c>
      <c r="I3" s="17">
        <f t="shared" ref="I3:I37" si="0">G3-H3</f>
        <v>-25</v>
      </c>
      <c r="J3" s="16" t="s">
        <v>1467</v>
      </c>
      <c r="K3" s="16" t="s">
        <v>32</v>
      </c>
      <c r="L3" s="16" t="s">
        <v>1468</v>
      </c>
      <c r="M3" s="16"/>
      <c r="N3" s="16"/>
      <c r="O3" s="16"/>
      <c r="P3" s="16"/>
      <c r="Q3" s="16">
        <v>1</v>
      </c>
      <c r="R3" s="10">
        <f>H3</f>
        <v>25</v>
      </c>
    </row>
    <row r="4" spans="1:18" x14ac:dyDescent="0.25">
      <c r="A4" s="16"/>
      <c r="B4" s="16" t="s">
        <v>26</v>
      </c>
      <c r="C4" s="16" t="s">
        <v>1469</v>
      </c>
      <c r="D4" s="16" t="s">
        <v>1470</v>
      </c>
      <c r="E4" s="16" t="s">
        <v>1471</v>
      </c>
      <c r="F4" s="16" t="s">
        <v>93</v>
      </c>
      <c r="G4" s="17">
        <v>25</v>
      </c>
      <c r="H4" s="17">
        <v>25</v>
      </c>
      <c r="I4" s="17">
        <f t="shared" si="0"/>
        <v>0</v>
      </c>
      <c r="J4" s="16" t="s">
        <v>1467</v>
      </c>
      <c r="K4" s="16" t="s">
        <v>32</v>
      </c>
      <c r="L4" s="16" t="s">
        <v>1468</v>
      </c>
      <c r="M4" s="16"/>
      <c r="N4" s="16"/>
      <c r="O4" s="16"/>
      <c r="P4" s="16"/>
      <c r="Q4" s="16">
        <v>1</v>
      </c>
    </row>
    <row r="5" spans="1:18" x14ac:dyDescent="0.25">
      <c r="A5" s="16"/>
      <c r="B5" s="16" t="s">
        <v>26</v>
      </c>
      <c r="C5" s="16" t="s">
        <v>1472</v>
      </c>
      <c r="D5" s="16" t="s">
        <v>1473</v>
      </c>
      <c r="E5" s="16" t="s">
        <v>1474</v>
      </c>
      <c r="F5" s="17">
        <v>6</v>
      </c>
      <c r="G5" s="17">
        <v>705</v>
      </c>
      <c r="H5" s="17">
        <v>25</v>
      </c>
      <c r="I5" s="17">
        <f t="shared" si="0"/>
        <v>680</v>
      </c>
      <c r="J5" s="16" t="s">
        <v>1467</v>
      </c>
      <c r="K5" s="16" t="s">
        <v>32</v>
      </c>
      <c r="L5" s="16" t="s">
        <v>1468</v>
      </c>
      <c r="M5" s="16"/>
      <c r="N5" s="16"/>
      <c r="O5" s="16"/>
      <c r="P5" s="16"/>
      <c r="Q5" s="16">
        <v>1</v>
      </c>
    </row>
    <row r="6" spans="1:18" x14ac:dyDescent="0.25">
      <c r="A6" s="16"/>
      <c r="B6" s="16" t="s">
        <v>26</v>
      </c>
      <c r="C6" s="16" t="s">
        <v>1475</v>
      </c>
      <c r="D6" s="16" t="s">
        <v>1476</v>
      </c>
      <c r="E6" s="16" t="s">
        <v>1477</v>
      </c>
      <c r="F6" s="16" t="s">
        <v>30</v>
      </c>
      <c r="G6" s="17">
        <v>965</v>
      </c>
      <c r="H6" s="17">
        <v>25</v>
      </c>
      <c r="I6" s="17">
        <f t="shared" si="0"/>
        <v>940</v>
      </c>
      <c r="J6" s="16" t="s">
        <v>1467</v>
      </c>
      <c r="K6" s="16" t="s">
        <v>32</v>
      </c>
      <c r="L6" s="16" t="s">
        <v>1468</v>
      </c>
      <c r="M6" s="16"/>
      <c r="N6" s="16"/>
      <c r="O6" s="16"/>
      <c r="P6" s="16"/>
      <c r="Q6" s="16">
        <v>1</v>
      </c>
    </row>
    <row r="7" spans="1:18" x14ac:dyDescent="0.25">
      <c r="A7" s="16"/>
      <c r="B7" s="16" t="s">
        <v>26</v>
      </c>
      <c r="C7" s="16" t="s">
        <v>846</v>
      </c>
      <c r="D7" s="16" t="s">
        <v>1478</v>
      </c>
      <c r="E7" s="16" t="s">
        <v>848</v>
      </c>
      <c r="F7" s="16" t="s">
        <v>51</v>
      </c>
      <c r="G7" s="17">
        <v>0</v>
      </c>
      <c r="H7" s="17">
        <v>30</v>
      </c>
      <c r="I7" s="17">
        <f t="shared" si="0"/>
        <v>-30</v>
      </c>
      <c r="J7" s="16" t="s">
        <v>1467</v>
      </c>
      <c r="K7" s="16" t="s">
        <v>32</v>
      </c>
      <c r="L7" s="16" t="s">
        <v>1468</v>
      </c>
      <c r="M7" s="16"/>
      <c r="N7" s="16"/>
      <c r="O7" s="16"/>
      <c r="P7" s="16"/>
      <c r="Q7" s="16">
        <v>1</v>
      </c>
      <c r="R7" s="10">
        <f>H7</f>
        <v>30</v>
      </c>
    </row>
    <row r="8" spans="1:18" x14ac:dyDescent="0.25">
      <c r="A8" s="16"/>
      <c r="B8" s="16" t="s">
        <v>26</v>
      </c>
      <c r="C8" s="16" t="s">
        <v>1479</v>
      </c>
      <c r="D8" s="16" t="s">
        <v>1480</v>
      </c>
      <c r="E8" s="16" t="s">
        <v>1481</v>
      </c>
      <c r="F8" s="16" t="s">
        <v>30</v>
      </c>
      <c r="G8" s="17">
        <v>1405</v>
      </c>
      <c r="H8" s="17">
        <v>25</v>
      </c>
      <c r="I8" s="17">
        <f t="shared" si="0"/>
        <v>1380</v>
      </c>
      <c r="J8" s="16" t="s">
        <v>1467</v>
      </c>
      <c r="K8" s="16" t="s">
        <v>32</v>
      </c>
      <c r="L8" s="16" t="s">
        <v>1468</v>
      </c>
      <c r="M8" s="16"/>
      <c r="N8" s="16"/>
      <c r="O8" s="16"/>
      <c r="P8" s="16"/>
      <c r="Q8" s="16">
        <v>1</v>
      </c>
    </row>
    <row r="9" spans="1:18" x14ac:dyDescent="0.25">
      <c r="A9" s="16"/>
      <c r="B9" s="16" t="s">
        <v>26</v>
      </c>
      <c r="C9" s="16" t="s">
        <v>1482</v>
      </c>
      <c r="D9" s="16" t="s">
        <v>1483</v>
      </c>
      <c r="E9" s="16" t="s">
        <v>1484</v>
      </c>
      <c r="F9" s="17">
        <v>8</v>
      </c>
      <c r="G9" s="17">
        <v>710</v>
      </c>
      <c r="H9" s="17">
        <v>30</v>
      </c>
      <c r="I9" s="17">
        <f t="shared" si="0"/>
        <v>680</v>
      </c>
      <c r="J9" s="16" t="s">
        <v>1467</v>
      </c>
      <c r="K9" s="16" t="s">
        <v>32</v>
      </c>
      <c r="L9" s="16" t="s">
        <v>1468</v>
      </c>
      <c r="M9" s="16"/>
      <c r="N9" s="16"/>
      <c r="O9" s="16"/>
      <c r="P9" s="16"/>
      <c r="Q9" s="16">
        <v>1</v>
      </c>
    </row>
    <row r="10" spans="1:18" x14ac:dyDescent="0.25">
      <c r="A10" s="16"/>
      <c r="B10" s="16" t="s">
        <v>26</v>
      </c>
      <c r="C10" s="16" t="s">
        <v>283</v>
      </c>
      <c r="D10" s="16" t="s">
        <v>1485</v>
      </c>
      <c r="E10" s="16" t="s">
        <v>285</v>
      </c>
      <c r="F10" s="16" t="s">
        <v>30</v>
      </c>
      <c r="G10" s="17">
        <v>1605</v>
      </c>
      <c r="H10" s="17">
        <v>25</v>
      </c>
      <c r="I10" s="17">
        <f t="shared" si="0"/>
        <v>1580</v>
      </c>
      <c r="J10" s="16" t="s">
        <v>1467</v>
      </c>
      <c r="K10" s="16" t="s">
        <v>32</v>
      </c>
      <c r="L10" s="16" t="s">
        <v>1468</v>
      </c>
      <c r="M10" s="16"/>
      <c r="N10" s="16"/>
      <c r="O10" s="16"/>
      <c r="P10" s="16"/>
      <c r="Q10" s="16">
        <v>1</v>
      </c>
    </row>
    <row r="11" spans="1:18" x14ac:dyDescent="0.25">
      <c r="A11" s="16"/>
      <c r="B11" s="16" t="s">
        <v>26</v>
      </c>
      <c r="C11" s="16" t="s">
        <v>1486</v>
      </c>
      <c r="D11" s="16" t="s">
        <v>1487</v>
      </c>
      <c r="E11" s="16" t="s">
        <v>1488</v>
      </c>
      <c r="F11" s="16" t="s">
        <v>51</v>
      </c>
      <c r="G11" s="17">
        <v>1680</v>
      </c>
      <c r="H11" s="17">
        <v>30</v>
      </c>
      <c r="I11" s="17">
        <f t="shared" si="0"/>
        <v>1650</v>
      </c>
      <c r="J11" s="16" t="s">
        <v>1467</v>
      </c>
      <c r="K11" s="16" t="s">
        <v>32</v>
      </c>
      <c r="L11" s="16" t="s">
        <v>1468</v>
      </c>
      <c r="M11" s="16"/>
      <c r="N11" s="16"/>
      <c r="O11" s="16"/>
      <c r="P11" s="16"/>
      <c r="Q11" s="16">
        <v>1</v>
      </c>
    </row>
    <row r="12" spans="1:18" x14ac:dyDescent="0.25">
      <c r="A12" s="16"/>
      <c r="B12" s="16" t="s">
        <v>26</v>
      </c>
      <c r="C12" s="16" t="s">
        <v>1489</v>
      </c>
      <c r="D12" s="16" t="s">
        <v>1490</v>
      </c>
      <c r="E12" s="16" t="s">
        <v>1491</v>
      </c>
      <c r="F12" s="17">
        <v>6</v>
      </c>
      <c r="G12" s="17">
        <v>0</v>
      </c>
      <c r="H12" s="17">
        <v>25</v>
      </c>
      <c r="I12" s="17">
        <f t="shared" si="0"/>
        <v>-25</v>
      </c>
      <c r="J12" s="16" t="s">
        <v>1467</v>
      </c>
      <c r="K12" s="16" t="s">
        <v>32</v>
      </c>
      <c r="L12" s="16" t="s">
        <v>1468</v>
      </c>
      <c r="M12" s="16"/>
      <c r="N12" s="16"/>
      <c r="O12" s="16"/>
      <c r="P12" s="16"/>
      <c r="Q12" s="16">
        <v>1</v>
      </c>
      <c r="R12" s="10">
        <f>H12</f>
        <v>25</v>
      </c>
    </row>
    <row r="13" spans="1:18" x14ac:dyDescent="0.25">
      <c r="A13" s="16"/>
      <c r="B13" s="16" t="s">
        <v>26</v>
      </c>
      <c r="C13" s="16" t="s">
        <v>1492</v>
      </c>
      <c r="D13" s="16" t="s">
        <v>1493</v>
      </c>
      <c r="E13" s="16" t="s">
        <v>1494</v>
      </c>
      <c r="F13" s="16" t="s">
        <v>30</v>
      </c>
      <c r="G13" s="17">
        <v>1065</v>
      </c>
      <c r="H13" s="17">
        <v>25</v>
      </c>
      <c r="I13" s="17">
        <f t="shared" si="0"/>
        <v>1040</v>
      </c>
      <c r="J13" s="16" t="s">
        <v>1467</v>
      </c>
      <c r="K13" s="16" t="s">
        <v>32</v>
      </c>
      <c r="L13" s="16" t="s">
        <v>1468</v>
      </c>
      <c r="M13" s="18" t="s">
        <v>55</v>
      </c>
      <c r="N13" s="16"/>
      <c r="O13" s="16"/>
      <c r="P13" s="16"/>
      <c r="Q13" s="16">
        <v>1</v>
      </c>
      <c r="R13" s="10">
        <f>H13</f>
        <v>25</v>
      </c>
    </row>
    <row r="14" spans="1:18" x14ac:dyDescent="0.25">
      <c r="A14" s="16"/>
      <c r="B14" s="16" t="s">
        <v>26</v>
      </c>
      <c r="C14" s="16" t="s">
        <v>1495</v>
      </c>
      <c r="D14" s="16" t="s">
        <v>1496</v>
      </c>
      <c r="E14" s="16" t="s">
        <v>1497</v>
      </c>
      <c r="F14" s="16" t="s">
        <v>82</v>
      </c>
      <c r="G14" s="17">
        <v>1115</v>
      </c>
      <c r="H14" s="17">
        <v>25</v>
      </c>
      <c r="I14" s="17">
        <f t="shared" si="0"/>
        <v>1090</v>
      </c>
      <c r="J14" s="16" t="s">
        <v>32</v>
      </c>
      <c r="K14" s="16" t="s">
        <v>32</v>
      </c>
      <c r="L14" s="16" t="s">
        <v>1468</v>
      </c>
      <c r="M14" s="16"/>
      <c r="N14" s="16"/>
      <c r="O14" s="16"/>
      <c r="P14" s="16"/>
      <c r="Q14" s="16">
        <v>1</v>
      </c>
    </row>
    <row r="15" spans="1:18" x14ac:dyDescent="0.25">
      <c r="A15" s="16"/>
      <c r="B15" s="16" t="s">
        <v>26</v>
      </c>
      <c r="C15" s="16" t="s">
        <v>753</v>
      </c>
      <c r="D15" s="16" t="s">
        <v>1498</v>
      </c>
      <c r="E15" s="16" t="s">
        <v>1499</v>
      </c>
      <c r="F15" s="16" t="s">
        <v>75</v>
      </c>
      <c r="G15" s="17">
        <v>710</v>
      </c>
      <c r="H15" s="17">
        <v>20</v>
      </c>
      <c r="I15" s="17">
        <f t="shared" si="0"/>
        <v>690</v>
      </c>
      <c r="J15" s="16" t="s">
        <v>32</v>
      </c>
      <c r="K15" s="16" t="s">
        <v>32</v>
      </c>
      <c r="L15" s="16" t="s">
        <v>1468</v>
      </c>
      <c r="M15" s="16"/>
      <c r="N15" s="16"/>
      <c r="O15" s="16"/>
      <c r="P15" s="16"/>
      <c r="Q15" s="16">
        <v>1</v>
      </c>
    </row>
    <row r="16" spans="1:18" x14ac:dyDescent="0.25">
      <c r="A16" s="16"/>
      <c r="B16" s="16" t="s">
        <v>26</v>
      </c>
      <c r="C16" s="16" t="s">
        <v>1500</v>
      </c>
      <c r="D16" s="16" t="s">
        <v>1501</v>
      </c>
      <c r="E16" s="16" t="s">
        <v>1502</v>
      </c>
      <c r="F16" s="16" t="s">
        <v>89</v>
      </c>
      <c r="G16" s="17">
        <v>860</v>
      </c>
      <c r="H16" s="17">
        <v>30</v>
      </c>
      <c r="I16" s="17">
        <f t="shared" si="0"/>
        <v>830</v>
      </c>
      <c r="J16" s="16" t="s">
        <v>32</v>
      </c>
      <c r="K16" s="16" t="s">
        <v>32</v>
      </c>
      <c r="L16" s="16" t="s">
        <v>1468</v>
      </c>
      <c r="M16" s="18" t="s">
        <v>288</v>
      </c>
      <c r="N16" s="16"/>
      <c r="O16" s="16"/>
      <c r="P16" s="16"/>
      <c r="Q16" s="16">
        <v>1</v>
      </c>
    </row>
    <row r="17" spans="1:18" x14ac:dyDescent="0.25">
      <c r="A17" s="16"/>
      <c r="B17" s="16" t="s">
        <v>26</v>
      </c>
      <c r="C17" s="16" t="s">
        <v>1500</v>
      </c>
      <c r="D17" s="16" t="s">
        <v>1503</v>
      </c>
      <c r="E17" s="16" t="s">
        <v>1504</v>
      </c>
      <c r="F17" s="16" t="s">
        <v>89</v>
      </c>
      <c r="G17" s="17">
        <v>890</v>
      </c>
      <c r="H17" s="17">
        <v>0</v>
      </c>
      <c r="I17" s="17">
        <f t="shared" si="0"/>
        <v>890</v>
      </c>
      <c r="J17" s="16" t="s">
        <v>32</v>
      </c>
      <c r="K17" s="16" t="s">
        <v>32</v>
      </c>
      <c r="L17" s="16" t="s">
        <v>1468</v>
      </c>
      <c r="M17" s="18" t="s">
        <v>288</v>
      </c>
      <c r="N17" s="16"/>
      <c r="O17" s="16"/>
      <c r="P17" s="16"/>
      <c r="Q17" s="16">
        <v>1</v>
      </c>
    </row>
    <row r="18" spans="1:18" x14ac:dyDescent="0.25">
      <c r="A18" s="16"/>
      <c r="B18" s="16" t="s">
        <v>26</v>
      </c>
      <c r="C18" s="16" t="s">
        <v>315</v>
      </c>
      <c r="D18" s="16" t="s">
        <v>1505</v>
      </c>
      <c r="E18" s="16" t="s">
        <v>317</v>
      </c>
      <c r="F18" s="17">
        <v>12</v>
      </c>
      <c r="G18" s="17">
        <v>0</v>
      </c>
      <c r="H18" s="17">
        <v>30</v>
      </c>
      <c r="I18" s="17">
        <f t="shared" si="0"/>
        <v>-30</v>
      </c>
      <c r="J18" s="16" t="s">
        <v>32</v>
      </c>
      <c r="K18" s="16" t="s">
        <v>32</v>
      </c>
      <c r="L18" s="16" t="s">
        <v>1468</v>
      </c>
      <c r="M18" s="16"/>
      <c r="N18" s="16"/>
      <c r="O18" s="16"/>
      <c r="P18" s="16"/>
      <c r="Q18" s="16">
        <v>1</v>
      </c>
      <c r="R18" s="10">
        <f>H18</f>
        <v>30</v>
      </c>
    </row>
    <row r="19" spans="1:18" x14ac:dyDescent="0.25">
      <c r="A19" s="16"/>
      <c r="B19" s="16" t="s">
        <v>26</v>
      </c>
      <c r="C19" s="16" t="s">
        <v>1506</v>
      </c>
      <c r="D19" s="16" t="s">
        <v>1507</v>
      </c>
      <c r="E19" s="16" t="s">
        <v>1508</v>
      </c>
      <c r="F19" s="17">
        <v>2</v>
      </c>
      <c r="G19" s="17">
        <v>2410</v>
      </c>
      <c r="H19" s="17">
        <v>35</v>
      </c>
      <c r="I19" s="17">
        <f t="shared" si="0"/>
        <v>2375</v>
      </c>
      <c r="J19" s="16" t="s">
        <v>32</v>
      </c>
      <c r="K19" s="16" t="s">
        <v>32</v>
      </c>
      <c r="L19" s="16" t="s">
        <v>1468</v>
      </c>
      <c r="M19" s="18" t="s">
        <v>55</v>
      </c>
      <c r="N19" s="16"/>
      <c r="O19" s="16"/>
      <c r="P19" s="16"/>
      <c r="Q19" s="16">
        <v>1</v>
      </c>
      <c r="R19" s="10">
        <f>H19</f>
        <v>35</v>
      </c>
    </row>
    <row r="20" spans="1:18" x14ac:dyDescent="0.25">
      <c r="A20" s="16"/>
      <c r="B20" s="16" t="s">
        <v>26</v>
      </c>
      <c r="C20" s="16" t="s">
        <v>1509</v>
      </c>
      <c r="D20" s="16" t="s">
        <v>1510</v>
      </c>
      <c r="E20" s="16" t="s">
        <v>1511</v>
      </c>
      <c r="F20" s="17">
        <v>9</v>
      </c>
      <c r="G20" s="17">
        <v>0</v>
      </c>
      <c r="H20" s="17">
        <v>30</v>
      </c>
      <c r="I20" s="17">
        <f t="shared" si="0"/>
        <v>-30</v>
      </c>
      <c r="J20" s="16" t="s">
        <v>32</v>
      </c>
      <c r="K20" s="16" t="s">
        <v>32</v>
      </c>
      <c r="L20" s="16" t="s">
        <v>1468</v>
      </c>
      <c r="M20" s="16"/>
      <c r="N20" s="16"/>
      <c r="O20" s="16"/>
      <c r="P20" s="16"/>
      <c r="Q20" s="16">
        <v>1</v>
      </c>
      <c r="R20" s="10">
        <f>H20</f>
        <v>30</v>
      </c>
    </row>
    <row r="21" spans="1:18" s="21" customFormat="1" x14ac:dyDescent="0.25">
      <c r="A21" s="19"/>
      <c r="B21" s="19" t="s">
        <v>26</v>
      </c>
      <c r="C21" s="19" t="s">
        <v>1512</v>
      </c>
      <c r="D21" s="19" t="s">
        <v>1513</v>
      </c>
      <c r="E21" s="19" t="s">
        <v>1514</v>
      </c>
      <c r="F21" s="20">
        <v>9</v>
      </c>
      <c r="G21" s="20">
        <v>820</v>
      </c>
      <c r="H21" s="20">
        <v>30</v>
      </c>
      <c r="I21" s="20">
        <f t="shared" si="0"/>
        <v>790</v>
      </c>
      <c r="J21" s="19" t="s">
        <v>32</v>
      </c>
      <c r="K21" s="19" t="s">
        <v>32</v>
      </c>
      <c r="L21" s="19" t="s">
        <v>1468</v>
      </c>
      <c r="M21" s="19" t="s">
        <v>68</v>
      </c>
      <c r="N21" s="19"/>
      <c r="O21" s="19"/>
      <c r="P21" s="19"/>
      <c r="Q21" s="19">
        <v>1</v>
      </c>
    </row>
    <row r="22" spans="1:18" x14ac:dyDescent="0.25">
      <c r="A22" s="16"/>
      <c r="B22" s="16" t="s">
        <v>26</v>
      </c>
      <c r="C22" s="16" t="s">
        <v>769</v>
      </c>
      <c r="D22" s="16" t="s">
        <v>1515</v>
      </c>
      <c r="E22" s="16" t="s">
        <v>771</v>
      </c>
      <c r="F22" s="16" t="s">
        <v>75</v>
      </c>
      <c r="G22" s="17">
        <v>750</v>
      </c>
      <c r="H22" s="17">
        <v>20</v>
      </c>
      <c r="I22" s="17">
        <f t="shared" si="0"/>
        <v>730</v>
      </c>
      <c r="J22" s="16" t="s">
        <v>32</v>
      </c>
      <c r="K22" s="16" t="s">
        <v>32</v>
      </c>
      <c r="L22" s="16" t="s">
        <v>1468</v>
      </c>
      <c r="M22" s="16"/>
      <c r="N22" s="16"/>
      <c r="O22" s="16"/>
      <c r="P22" s="16"/>
      <c r="Q22" s="16">
        <v>1</v>
      </c>
    </row>
    <row r="23" spans="1:18" x14ac:dyDescent="0.25">
      <c r="A23" s="16"/>
      <c r="B23" s="16" t="s">
        <v>26</v>
      </c>
      <c r="C23" s="16" t="s">
        <v>1516</v>
      </c>
      <c r="D23" s="16" t="s">
        <v>1517</v>
      </c>
      <c r="E23" s="16" t="s">
        <v>1518</v>
      </c>
      <c r="F23" s="17">
        <v>2</v>
      </c>
      <c r="G23" s="17">
        <v>720</v>
      </c>
      <c r="H23" s="17">
        <v>30</v>
      </c>
      <c r="I23" s="17">
        <f t="shared" si="0"/>
        <v>690</v>
      </c>
      <c r="J23" s="16" t="s">
        <v>32</v>
      </c>
      <c r="K23" s="16" t="s">
        <v>32</v>
      </c>
      <c r="L23" s="16" t="s">
        <v>1468</v>
      </c>
      <c r="M23" s="16"/>
      <c r="N23" s="16"/>
      <c r="O23" s="16"/>
      <c r="P23" s="16"/>
      <c r="Q23" s="16">
        <v>1</v>
      </c>
    </row>
    <row r="24" spans="1:18" x14ac:dyDescent="0.25">
      <c r="A24" s="16"/>
      <c r="B24" s="16" t="s">
        <v>26</v>
      </c>
      <c r="C24" s="16" t="s">
        <v>1519</v>
      </c>
      <c r="D24" s="16" t="s">
        <v>1520</v>
      </c>
      <c r="E24" s="16" t="s">
        <v>1521</v>
      </c>
      <c r="F24" s="16" t="s">
        <v>75</v>
      </c>
      <c r="G24" s="17">
        <v>850</v>
      </c>
      <c r="H24" s="17">
        <v>20</v>
      </c>
      <c r="I24" s="17">
        <f t="shared" si="0"/>
        <v>830</v>
      </c>
      <c r="J24" s="16" t="s">
        <v>32</v>
      </c>
      <c r="K24" s="16" t="s">
        <v>32</v>
      </c>
      <c r="L24" s="16" t="s">
        <v>1468</v>
      </c>
      <c r="M24" s="16"/>
      <c r="N24" s="16"/>
      <c r="O24" s="16"/>
      <c r="P24" s="16"/>
      <c r="Q24" s="16">
        <v>1</v>
      </c>
    </row>
    <row r="25" spans="1:18" x14ac:dyDescent="0.25">
      <c r="A25" s="16"/>
      <c r="B25" s="16" t="s">
        <v>26</v>
      </c>
      <c r="C25" s="16" t="s">
        <v>1522</v>
      </c>
      <c r="D25" s="16" t="s">
        <v>1523</v>
      </c>
      <c r="E25" s="16" t="s">
        <v>1524</v>
      </c>
      <c r="F25" s="16" t="s">
        <v>82</v>
      </c>
      <c r="G25" s="17">
        <v>0</v>
      </c>
      <c r="H25" s="17">
        <v>25</v>
      </c>
      <c r="I25" s="17">
        <f t="shared" si="0"/>
        <v>-25</v>
      </c>
      <c r="J25" s="16" t="s">
        <v>32</v>
      </c>
      <c r="K25" s="16" t="s">
        <v>32</v>
      </c>
      <c r="L25" s="16" t="s">
        <v>1468</v>
      </c>
      <c r="M25" s="16"/>
      <c r="N25" s="16"/>
      <c r="O25" s="16"/>
      <c r="P25" s="16"/>
      <c r="Q25" s="16">
        <v>1</v>
      </c>
      <c r="R25" s="10">
        <f>H25</f>
        <v>25</v>
      </c>
    </row>
    <row r="26" spans="1:18" x14ac:dyDescent="0.25">
      <c r="A26" s="16"/>
      <c r="B26" s="16" t="s">
        <v>26</v>
      </c>
      <c r="C26" s="16" t="s">
        <v>1525</v>
      </c>
      <c r="D26" s="16" t="s">
        <v>1526</v>
      </c>
      <c r="E26" s="16" t="s">
        <v>1527</v>
      </c>
      <c r="F26" s="16" t="s">
        <v>89</v>
      </c>
      <c r="G26" s="17">
        <v>710</v>
      </c>
      <c r="H26" s="17">
        <v>30</v>
      </c>
      <c r="I26" s="17">
        <f t="shared" si="0"/>
        <v>680</v>
      </c>
      <c r="J26" s="16" t="s">
        <v>32</v>
      </c>
      <c r="K26" s="16" t="s">
        <v>32</v>
      </c>
      <c r="L26" s="16" t="s">
        <v>1468</v>
      </c>
      <c r="M26" s="16"/>
      <c r="N26" s="16"/>
      <c r="O26" s="16"/>
      <c r="P26" s="16"/>
      <c r="Q26" s="16">
        <v>1</v>
      </c>
    </row>
    <row r="27" spans="1:18" x14ac:dyDescent="0.25">
      <c r="A27" s="16"/>
      <c r="B27" s="16" t="s">
        <v>26</v>
      </c>
      <c r="C27" s="16" t="s">
        <v>1528</v>
      </c>
      <c r="D27" s="16" t="s">
        <v>1529</v>
      </c>
      <c r="E27" s="16" t="s">
        <v>1530</v>
      </c>
      <c r="F27" s="16" t="s">
        <v>82</v>
      </c>
      <c r="G27" s="17">
        <v>0</v>
      </c>
      <c r="H27" s="17">
        <v>25</v>
      </c>
      <c r="I27" s="17">
        <f t="shared" si="0"/>
        <v>-25</v>
      </c>
      <c r="J27" s="16" t="s">
        <v>32</v>
      </c>
      <c r="K27" s="16" t="s">
        <v>32</v>
      </c>
      <c r="L27" s="16" t="s">
        <v>1468</v>
      </c>
      <c r="M27" s="16"/>
      <c r="N27" s="16"/>
      <c r="O27" s="16"/>
      <c r="P27" s="16"/>
      <c r="Q27" s="16">
        <v>1</v>
      </c>
      <c r="R27" s="10">
        <f>H27</f>
        <v>25</v>
      </c>
    </row>
    <row r="28" spans="1:18" x14ac:dyDescent="0.25">
      <c r="A28" s="16" t="s">
        <v>141</v>
      </c>
      <c r="B28" s="16" t="s">
        <v>26</v>
      </c>
      <c r="C28" s="16" t="s">
        <v>204</v>
      </c>
      <c r="D28" s="16"/>
      <c r="E28" s="16" t="s">
        <v>205</v>
      </c>
      <c r="F28" s="16" t="s">
        <v>82</v>
      </c>
      <c r="G28" s="17">
        <v>2310</v>
      </c>
      <c r="H28" s="17">
        <v>30</v>
      </c>
      <c r="I28" s="17">
        <f t="shared" si="0"/>
        <v>2280</v>
      </c>
      <c r="J28" s="16" t="s">
        <v>32</v>
      </c>
      <c r="K28" s="16" t="s">
        <v>32</v>
      </c>
      <c r="L28" s="16" t="s">
        <v>1468</v>
      </c>
      <c r="M28" s="16"/>
      <c r="N28" s="16"/>
      <c r="O28" s="16"/>
      <c r="P28" s="16"/>
      <c r="Q28" s="16">
        <v>1</v>
      </c>
    </row>
    <row r="29" spans="1:18" x14ac:dyDescent="0.25">
      <c r="A29" s="16"/>
      <c r="B29" s="16" t="s">
        <v>26</v>
      </c>
      <c r="C29" s="16" t="s">
        <v>1531</v>
      </c>
      <c r="D29" s="16" t="s">
        <v>1532</v>
      </c>
      <c r="E29" s="16" t="s">
        <v>1533</v>
      </c>
      <c r="F29" s="17">
        <v>7</v>
      </c>
      <c r="G29" s="17">
        <v>0</v>
      </c>
      <c r="H29" s="17">
        <v>30</v>
      </c>
      <c r="I29" s="17">
        <f t="shared" si="0"/>
        <v>-30</v>
      </c>
      <c r="J29" s="16" t="s">
        <v>103</v>
      </c>
      <c r="K29" s="16" t="s">
        <v>32</v>
      </c>
      <c r="L29" s="16" t="s">
        <v>1468</v>
      </c>
      <c r="M29" s="16"/>
      <c r="N29" s="16"/>
      <c r="O29" s="16"/>
      <c r="P29" s="16"/>
      <c r="Q29" s="16">
        <v>1</v>
      </c>
      <c r="R29" s="10">
        <f>H29</f>
        <v>30</v>
      </c>
    </row>
    <row r="30" spans="1:18" x14ac:dyDescent="0.25">
      <c r="A30" s="16"/>
      <c r="B30" s="16" t="s">
        <v>26</v>
      </c>
      <c r="C30" s="16" t="s">
        <v>1351</v>
      </c>
      <c r="D30" s="16" t="s">
        <v>1534</v>
      </c>
      <c r="E30" s="16" t="s">
        <v>1353</v>
      </c>
      <c r="F30" s="17">
        <v>1</v>
      </c>
      <c r="G30" s="17">
        <v>0</v>
      </c>
      <c r="H30" s="17">
        <v>25</v>
      </c>
      <c r="I30" s="17">
        <f t="shared" si="0"/>
        <v>-25</v>
      </c>
      <c r="J30" s="16" t="s">
        <v>103</v>
      </c>
      <c r="K30" s="16" t="s">
        <v>32</v>
      </c>
      <c r="L30" s="16" t="s">
        <v>1468</v>
      </c>
      <c r="M30" s="16"/>
      <c r="N30" s="16"/>
      <c r="O30" s="16"/>
      <c r="P30" s="16"/>
      <c r="Q30" s="16">
        <v>1</v>
      </c>
      <c r="R30" s="10">
        <f>H30</f>
        <v>25</v>
      </c>
    </row>
    <row r="31" spans="1:18" x14ac:dyDescent="0.25">
      <c r="A31" s="16"/>
      <c r="B31" s="16" t="s">
        <v>26</v>
      </c>
      <c r="C31" s="16" t="s">
        <v>1535</v>
      </c>
      <c r="D31" s="16" t="s">
        <v>1536</v>
      </c>
      <c r="E31" s="16" t="s">
        <v>1537</v>
      </c>
      <c r="F31" s="16" t="s">
        <v>93</v>
      </c>
      <c r="G31" s="17">
        <v>0</v>
      </c>
      <c r="H31" s="17">
        <v>25</v>
      </c>
      <c r="I31" s="17">
        <f t="shared" si="0"/>
        <v>-25</v>
      </c>
      <c r="J31" s="16" t="s">
        <v>103</v>
      </c>
      <c r="K31" s="16" t="s">
        <v>32</v>
      </c>
      <c r="L31" s="16" t="s">
        <v>1468</v>
      </c>
      <c r="M31" s="18" t="s">
        <v>1538</v>
      </c>
      <c r="N31" s="16"/>
      <c r="O31" s="16"/>
      <c r="P31" s="16"/>
      <c r="Q31" s="16">
        <v>1</v>
      </c>
      <c r="R31" s="10">
        <f>H31</f>
        <v>25</v>
      </c>
    </row>
    <row r="32" spans="1:18" x14ac:dyDescent="0.25">
      <c r="A32" s="16"/>
      <c r="B32" s="16" t="s">
        <v>26</v>
      </c>
      <c r="C32" s="16" t="s">
        <v>1539</v>
      </c>
      <c r="D32" s="16" t="s">
        <v>1540</v>
      </c>
      <c r="E32" s="16" t="s">
        <v>1541</v>
      </c>
      <c r="F32" s="16" t="s">
        <v>40</v>
      </c>
      <c r="G32" s="17">
        <v>715</v>
      </c>
      <c r="H32" s="17">
        <v>35</v>
      </c>
      <c r="I32" s="17">
        <f t="shared" si="0"/>
        <v>680</v>
      </c>
      <c r="J32" s="16" t="s">
        <v>103</v>
      </c>
      <c r="K32" s="16" t="s">
        <v>32</v>
      </c>
      <c r="L32" s="16" t="s">
        <v>1468</v>
      </c>
      <c r="M32" s="16"/>
      <c r="N32" s="16"/>
      <c r="O32" s="16"/>
      <c r="P32" s="16"/>
      <c r="Q32" s="16">
        <v>1</v>
      </c>
    </row>
    <row r="33" spans="1:18" x14ac:dyDescent="0.25">
      <c r="A33" s="16"/>
      <c r="B33" s="16" t="s">
        <v>26</v>
      </c>
      <c r="C33" s="16" t="s">
        <v>114</v>
      </c>
      <c r="D33" s="16" t="s">
        <v>1542</v>
      </c>
      <c r="E33" s="16" t="s">
        <v>116</v>
      </c>
      <c r="F33" s="17">
        <v>5</v>
      </c>
      <c r="G33" s="17">
        <v>805</v>
      </c>
      <c r="H33" s="17">
        <v>25</v>
      </c>
      <c r="I33" s="17">
        <f t="shared" si="0"/>
        <v>780</v>
      </c>
      <c r="J33" s="16" t="s">
        <v>103</v>
      </c>
      <c r="K33" s="16" t="s">
        <v>32</v>
      </c>
      <c r="L33" s="16" t="s">
        <v>1468</v>
      </c>
      <c r="M33" s="16"/>
      <c r="N33" s="16"/>
      <c r="O33" s="16"/>
      <c r="P33" s="16"/>
      <c r="Q33" s="16">
        <v>1</v>
      </c>
    </row>
    <row r="34" spans="1:18" x14ac:dyDescent="0.25">
      <c r="A34" s="16"/>
      <c r="B34" s="16" t="s">
        <v>26</v>
      </c>
      <c r="C34" s="16" t="s">
        <v>1543</v>
      </c>
      <c r="D34" s="16" t="s">
        <v>1544</v>
      </c>
      <c r="E34" s="16" t="s">
        <v>1545</v>
      </c>
      <c r="F34" s="16" t="s">
        <v>243</v>
      </c>
      <c r="G34" s="17">
        <v>1605</v>
      </c>
      <c r="H34" s="17">
        <v>35</v>
      </c>
      <c r="I34" s="17">
        <f t="shared" si="0"/>
        <v>1570</v>
      </c>
      <c r="J34" s="16" t="s">
        <v>103</v>
      </c>
      <c r="K34" s="16" t="s">
        <v>32</v>
      </c>
      <c r="L34" s="16" t="s">
        <v>1468</v>
      </c>
      <c r="M34" s="16"/>
      <c r="N34" s="16"/>
      <c r="O34" s="16"/>
      <c r="P34" s="16"/>
      <c r="Q34" s="16">
        <v>1</v>
      </c>
    </row>
    <row r="35" spans="1:18" x14ac:dyDescent="0.25">
      <c r="A35" s="16"/>
      <c r="B35" s="16" t="s">
        <v>26</v>
      </c>
      <c r="C35" s="16" t="s">
        <v>1546</v>
      </c>
      <c r="D35" s="16" t="s">
        <v>1547</v>
      </c>
      <c r="E35" s="16" t="s">
        <v>1548</v>
      </c>
      <c r="F35" s="17">
        <v>7</v>
      </c>
      <c r="G35" s="17">
        <v>710</v>
      </c>
      <c r="H35" s="17">
        <v>30</v>
      </c>
      <c r="I35" s="17">
        <f t="shared" si="0"/>
        <v>680</v>
      </c>
      <c r="J35" s="16" t="s">
        <v>103</v>
      </c>
      <c r="K35" s="16" t="s">
        <v>32</v>
      </c>
      <c r="L35" s="16" t="s">
        <v>1468</v>
      </c>
      <c r="M35" s="16"/>
      <c r="N35" s="16"/>
      <c r="O35" s="16"/>
      <c r="P35" s="16"/>
      <c r="Q35" s="16">
        <v>1</v>
      </c>
    </row>
    <row r="36" spans="1:18" x14ac:dyDescent="0.25">
      <c r="A36" s="16"/>
      <c r="B36" s="16" t="s">
        <v>26</v>
      </c>
      <c r="C36" s="16" t="s">
        <v>1549</v>
      </c>
      <c r="D36" s="16" t="s">
        <v>1550</v>
      </c>
      <c r="E36" s="16" t="s">
        <v>1551</v>
      </c>
      <c r="F36" s="16" t="s">
        <v>93</v>
      </c>
      <c r="G36" s="17">
        <v>0</v>
      </c>
      <c r="H36" s="17">
        <v>25</v>
      </c>
      <c r="I36" s="17">
        <f t="shared" si="0"/>
        <v>-25</v>
      </c>
      <c r="J36" s="16" t="s">
        <v>103</v>
      </c>
      <c r="K36" s="16" t="s">
        <v>32</v>
      </c>
      <c r="L36" s="16" t="s">
        <v>1468</v>
      </c>
      <c r="M36" s="16"/>
      <c r="N36" s="16"/>
      <c r="O36" s="16"/>
      <c r="P36" s="16"/>
      <c r="Q36" s="16">
        <v>1</v>
      </c>
      <c r="R36" s="10">
        <f>H36</f>
        <v>25</v>
      </c>
    </row>
    <row r="37" spans="1:18" s="2" customFormat="1" x14ac:dyDescent="0.25">
      <c r="A37" s="23"/>
      <c r="B37" s="23" t="s">
        <v>26</v>
      </c>
      <c r="C37" s="23" t="s">
        <v>1428</v>
      </c>
      <c r="D37" s="23" t="s">
        <v>1429</v>
      </c>
      <c r="E37" s="23" t="s">
        <v>1430</v>
      </c>
      <c r="F37" s="24">
        <v>2</v>
      </c>
      <c r="G37" s="24">
        <v>720</v>
      </c>
      <c r="H37" s="24">
        <v>30</v>
      </c>
      <c r="I37" s="24">
        <f t="shared" si="0"/>
        <v>690</v>
      </c>
      <c r="J37" s="23" t="s">
        <v>269</v>
      </c>
      <c r="K37" s="23" t="s">
        <v>32</v>
      </c>
      <c r="L37" s="23" t="s">
        <v>1361</v>
      </c>
      <c r="M37" s="23" t="s">
        <v>157</v>
      </c>
      <c r="N37" s="23" t="s">
        <v>271</v>
      </c>
      <c r="O37" s="23" t="s">
        <v>271</v>
      </c>
      <c r="P37" s="23" t="s">
        <v>272</v>
      </c>
      <c r="Q37" s="23">
        <v>1</v>
      </c>
    </row>
    <row r="39" spans="1:18" x14ac:dyDescent="0.25">
      <c r="D39" s="1">
        <f>COUNTA(D3:D37)</f>
        <v>34</v>
      </c>
      <c r="G39" s="1">
        <f t="shared" ref="G39:Q39" si="1">SUBTOTAL(9,G3:G37)</f>
        <v>24860</v>
      </c>
      <c r="H39" s="1">
        <f t="shared" si="1"/>
        <v>930</v>
      </c>
      <c r="I39" s="1">
        <f t="shared" si="1"/>
        <v>23930</v>
      </c>
      <c r="J39" s="1">
        <f t="shared" si="1"/>
        <v>0</v>
      </c>
      <c r="K39" s="1">
        <f t="shared" si="1"/>
        <v>0</v>
      </c>
      <c r="L39" s="1">
        <f t="shared" si="1"/>
        <v>0</v>
      </c>
      <c r="M39" s="1">
        <f t="shared" si="1"/>
        <v>0</v>
      </c>
      <c r="N39" s="1">
        <f t="shared" si="1"/>
        <v>0</v>
      </c>
      <c r="O39" s="1">
        <f t="shared" si="1"/>
        <v>0</v>
      </c>
      <c r="P39" s="1">
        <f t="shared" si="1"/>
        <v>0</v>
      </c>
      <c r="Q39" s="1">
        <f t="shared" si="1"/>
        <v>35</v>
      </c>
    </row>
    <row r="40" spans="1:18" x14ac:dyDescent="0.25">
      <c r="H40">
        <f>-9*17</f>
        <v>-153</v>
      </c>
    </row>
    <row r="41" spans="1:18" x14ac:dyDescent="0.25">
      <c r="A41" s="1" t="s">
        <v>26</v>
      </c>
      <c r="C41" s="34" t="s">
        <v>144</v>
      </c>
      <c r="D41" s="34"/>
      <c r="E41" s="4" t="s">
        <v>145</v>
      </c>
      <c r="H41">
        <f>-2*25</f>
        <v>-50</v>
      </c>
      <c r="K41" s="11" t="s">
        <v>1467</v>
      </c>
      <c r="L41" s="11" t="s">
        <v>146</v>
      </c>
      <c r="M41" s="11" t="s">
        <v>145</v>
      </c>
      <c r="O41" s="4" t="s">
        <v>147</v>
      </c>
    </row>
    <row r="42" spans="1:18" x14ac:dyDescent="0.25">
      <c r="A42" t="s">
        <v>1468</v>
      </c>
      <c r="B42" s="3" t="s">
        <v>148</v>
      </c>
      <c r="C42" s="35">
        <f>SUMIFS(I$3:I$37,B$3:B$37,A$41,L$3:L$37,A$42)</f>
        <v>23240</v>
      </c>
      <c r="D42" s="35"/>
      <c r="E42" s="3">
        <f>SUMIFS(Q$3:Q$37,B$3:B$37,A$41,L$3:L$37,A$42)</f>
        <v>34</v>
      </c>
      <c r="F42" t="s">
        <v>149</v>
      </c>
      <c r="K42" t="s">
        <v>150</v>
      </c>
      <c r="L42">
        <f>SUMIFS(G$3:G$37,J$3:J$37,K$41)</f>
        <v>8160</v>
      </c>
      <c r="M42">
        <f>SUMIFS(Q$3:Q$37,J$3:J$37,K$41)-INT(COUNTIFS(J$3:J$37,K$41,M$3:M$37,"*gộp*")/2)</f>
        <v>11</v>
      </c>
      <c r="O42" t="s">
        <v>1552</v>
      </c>
      <c r="P42">
        <f>L47</f>
        <v>7957</v>
      </c>
    </row>
    <row r="43" spans="1:18" x14ac:dyDescent="0.25">
      <c r="B43" s="2" t="s">
        <v>152</v>
      </c>
      <c r="C43" s="36">
        <v>0</v>
      </c>
      <c r="D43" s="36"/>
      <c r="K43" t="s">
        <v>153</v>
      </c>
      <c r="L43">
        <f>SUM(H40:H41)</f>
        <v>-203</v>
      </c>
      <c r="M43">
        <f>SUMIFS(Q$3:Q$37,J$3:J$37,K$41)-INT(COUNTIFS(J$3:J$37,K$41,M$3:M$37,"*gộp*")/2)</f>
        <v>11</v>
      </c>
      <c r="O43" t="s">
        <v>103</v>
      </c>
      <c r="P43">
        <f>L55</f>
        <v>3645</v>
      </c>
    </row>
    <row r="44" spans="1:18" x14ac:dyDescent="0.25">
      <c r="B44" s="2" t="s">
        <v>154</v>
      </c>
      <c r="C44" s="36">
        <f>-SUMIFS(I$3:I$37,B$3:B$37,A$41,P$3:P$37,"xx",N$3:N$37,"x")</f>
        <v>-690</v>
      </c>
      <c r="D44" s="36"/>
      <c r="E44" s="2">
        <f>SUMIFS(Q$3:Q$37,B$3:B$37,A$41,P$3:P$37,"xx",N$3:N$37,"x")</f>
        <v>1</v>
      </c>
      <c r="K44" t="s">
        <v>155</v>
      </c>
      <c r="O44" t="s">
        <v>32</v>
      </c>
      <c r="P44">
        <f>L63</f>
        <v>11076</v>
      </c>
    </row>
    <row r="45" spans="1:18" x14ac:dyDescent="0.25">
      <c r="B45" s="4" t="s">
        <v>156</v>
      </c>
      <c r="C45" s="34">
        <f>SUBTOTAL(9,C42:C44)</f>
        <v>22550</v>
      </c>
      <c r="D45" s="34"/>
      <c r="E45">
        <f>E42</f>
        <v>34</v>
      </c>
      <c r="K45" s="12" t="s">
        <v>157</v>
      </c>
      <c r="O45" t="s">
        <v>158</v>
      </c>
      <c r="P45">
        <f>-C49</f>
        <v>-22542</v>
      </c>
    </row>
    <row r="46" spans="1:18" x14ac:dyDescent="0.25">
      <c r="B46" s="2" t="s">
        <v>159</v>
      </c>
      <c r="C46" s="32"/>
      <c r="D46" s="32"/>
      <c r="K46" s="2" t="s">
        <v>160</v>
      </c>
      <c r="O46" s="4" t="s">
        <v>161</v>
      </c>
      <c r="P46" s="4">
        <f>SUBTOTAL(9,P42:P45)</f>
        <v>136</v>
      </c>
    </row>
    <row r="47" spans="1:18" x14ac:dyDescent="0.25">
      <c r="B47" s="13" t="s">
        <v>162</v>
      </c>
      <c r="C47" s="32">
        <v>-8</v>
      </c>
      <c r="D47" s="32"/>
      <c r="L47" s="14">
        <f>SUBTOTAL(9,L42:L46)</f>
        <v>7957</v>
      </c>
      <c r="M47" s="14">
        <f>M42</f>
        <v>11</v>
      </c>
    </row>
    <row r="49" spans="2:13" x14ac:dyDescent="0.25">
      <c r="B49" s="1" t="s">
        <v>163</v>
      </c>
      <c r="C49" s="33">
        <f>C45+C46+C47</f>
        <v>22542</v>
      </c>
      <c r="D49" s="33"/>
      <c r="E49" s="1" t="s">
        <v>164</v>
      </c>
      <c r="K49" s="11" t="s">
        <v>103</v>
      </c>
      <c r="L49" s="11" t="s">
        <v>146</v>
      </c>
      <c r="M49" s="11" t="s">
        <v>145</v>
      </c>
    </row>
    <row r="50" spans="2:13" x14ac:dyDescent="0.25">
      <c r="K50" t="s">
        <v>150</v>
      </c>
      <c r="L50">
        <f>SUMIFS(G$3:G$37,J$3:J$37,K$49)</f>
        <v>3835</v>
      </c>
      <c r="M50">
        <f>SUMIFS(Q$3:Q$37,J$3:J$37,K$49)-INT(COUNTIFS(J$3:J$37,K$49,M$3:M$37,"*gộp*")/2)</f>
        <v>8</v>
      </c>
    </row>
    <row r="51" spans="2:13" x14ac:dyDescent="0.25">
      <c r="K51" t="s">
        <v>153</v>
      </c>
      <c r="L51">
        <f>-SUMIFS(H$3:H$37,J$3:J$37,K$49)+M51*5</f>
        <v>-190</v>
      </c>
      <c r="M51">
        <f>SUMIFS(Q$3:Q$37,J$3:J$37,K$49)-INT(COUNTIFS(J$3:J$37,K$49,M$3:M$37,"*gộp*")/2)</f>
        <v>8</v>
      </c>
    </row>
    <row r="52" spans="2:13" x14ac:dyDescent="0.25">
      <c r="K52" t="s">
        <v>155</v>
      </c>
    </row>
    <row r="53" spans="2:13" x14ac:dyDescent="0.25">
      <c r="K53" s="12" t="s">
        <v>157</v>
      </c>
    </row>
    <row r="54" spans="2:13" x14ac:dyDescent="0.25">
      <c r="K54" s="2" t="s">
        <v>160</v>
      </c>
    </row>
    <row r="55" spans="2:13" x14ac:dyDescent="0.25">
      <c r="L55" s="14">
        <f>SUBTOTAL(9,L50:L53)</f>
        <v>3645</v>
      </c>
      <c r="M55" s="14">
        <f>M50</f>
        <v>8</v>
      </c>
    </row>
    <row r="57" spans="2:13" x14ac:dyDescent="0.25">
      <c r="K57" s="11" t="s">
        <v>32</v>
      </c>
      <c r="L57" s="11" t="s">
        <v>146</v>
      </c>
      <c r="M57" s="11" t="s">
        <v>145</v>
      </c>
    </row>
    <row r="58" spans="2:13" x14ac:dyDescent="0.25">
      <c r="K58" t="s">
        <v>150</v>
      </c>
      <c r="L58">
        <f>SUMIFS(G$3:G$37,J$3:J$37,K$57)</f>
        <v>12145</v>
      </c>
      <c r="M58">
        <f>SUMIFS(Q$3:Q$37,J$3:J$37,K$57)-INT(COUNTIFS(J$3:J$37,K$57,M$3:M$37,"*gộp*")/2)</f>
        <v>14</v>
      </c>
    </row>
    <row r="59" spans="2:13" x14ac:dyDescent="0.25">
      <c r="K59" t="s">
        <v>153</v>
      </c>
      <c r="L59">
        <f>-SUMIFS(H$3:H$37,J$3:J$37,K$57)+M59*5</f>
        <v>-310</v>
      </c>
      <c r="M59">
        <f>SUMIFS(Q$3:Q$37,J$3:J$37,K$57)-INT(COUNTIFS(J$3:J$37,K$57,M$3:M$37,"*gộp*")/2)</f>
        <v>14</v>
      </c>
    </row>
    <row r="60" spans="2:13" x14ac:dyDescent="0.25">
      <c r="K60" t="s">
        <v>155</v>
      </c>
      <c r="L60">
        <f>-M60*2</f>
        <v>-64</v>
      </c>
      <c r="M60">
        <f>E45-(COUNTIFS(M$3:M$37,"*gộp*")/2)-COUNTIFS(M$3:M$37,"*đơn trả*")-COUNTIFS(M$3:M$37,"*hàng tỉnh*")</f>
        <v>32</v>
      </c>
    </row>
    <row r="61" spans="2:13" x14ac:dyDescent="0.25">
      <c r="K61" s="12" t="s">
        <v>157</v>
      </c>
      <c r="L61" s="25">
        <v>-695</v>
      </c>
      <c r="M61" s="25" t="s">
        <v>274</v>
      </c>
    </row>
    <row r="62" spans="2:13" x14ac:dyDescent="0.25">
      <c r="K62" s="2" t="s">
        <v>160</v>
      </c>
    </row>
    <row r="63" spans="2:13" x14ac:dyDescent="0.25">
      <c r="L63" s="14">
        <f>SUBTOTAL(9,L58:L62)</f>
        <v>11076</v>
      </c>
      <c r="M63" s="14">
        <f>M58</f>
        <v>14</v>
      </c>
    </row>
  </sheetData>
  <autoFilter ref="A2:P37" xr:uid="{00000000-0009-0000-0000-000010000000}">
    <sortState xmlns:xlrd2="http://schemas.microsoft.com/office/spreadsheetml/2017/richdata2" ref="A3:P37">
      <sortCondition ref="J2:J37"/>
    </sortState>
  </autoFilter>
  <mergeCells count="8">
    <mergeCell ref="C46:D46"/>
    <mergeCell ref="C47:D47"/>
    <mergeCell ref="C49:D49"/>
    <mergeCell ref="C41:D41"/>
    <mergeCell ref="C42:D42"/>
    <mergeCell ref="C43:D43"/>
    <mergeCell ref="C44:D44"/>
    <mergeCell ref="C45:D45"/>
  </mergeCells>
  <pageMargins left="0.75" right="0.75" top="0.75" bottom="0.5" header="0.5" footer="0.7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R63"/>
  <sheetViews>
    <sheetView workbookViewId="0">
      <selection activeCell="Q49" sqref="Q49"/>
    </sheetView>
  </sheetViews>
  <sheetFormatPr defaultRowHeight="15" x14ac:dyDescent="0.25"/>
  <cols>
    <col min="1" max="1" width="12.7109375" customWidth="1"/>
    <col min="2" max="2" width="17.7109375" customWidth="1"/>
    <col min="3" max="3" width="31.140625" customWidth="1"/>
    <col min="4" max="4" width="9.85546875" customWidth="1"/>
    <col min="5" max="5" width="67.85546875" customWidth="1"/>
    <col min="6" max="6" width="10.855468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0.42578125" customWidth="1"/>
    <col min="13" max="13" width="19.85546875" customWidth="1"/>
    <col min="14" max="14" width="9.7109375" customWidth="1"/>
    <col min="15" max="15" width="10.42578125" customWidth="1"/>
    <col min="16" max="16" width="7" bestFit="1" customWidth="1"/>
  </cols>
  <sheetData>
    <row r="2" spans="1:18" x14ac:dyDescent="0.25">
      <c r="A2" s="15" t="s">
        <v>10</v>
      </c>
      <c r="B2" s="15" t="s">
        <v>11</v>
      </c>
      <c r="C2" s="15" t="s">
        <v>12</v>
      </c>
      <c r="D2" s="15" t="s">
        <v>13</v>
      </c>
      <c r="E2" s="15" t="s">
        <v>14</v>
      </c>
      <c r="F2" s="15" t="s">
        <v>15</v>
      </c>
      <c r="G2" s="15" t="s">
        <v>16</v>
      </c>
      <c r="H2" s="15" t="s">
        <v>17</v>
      </c>
      <c r="I2" s="15" t="s">
        <v>18</v>
      </c>
      <c r="J2" s="15" t="s">
        <v>19</v>
      </c>
      <c r="K2" s="15" t="s">
        <v>20</v>
      </c>
      <c r="L2" s="15" t="s">
        <v>21</v>
      </c>
      <c r="M2" s="15" t="s">
        <v>22</v>
      </c>
      <c r="N2" s="15" t="s">
        <v>23</v>
      </c>
      <c r="O2" s="15" t="s">
        <v>24</v>
      </c>
      <c r="P2" s="15" t="s">
        <v>25</v>
      </c>
      <c r="Q2" s="16"/>
    </row>
    <row r="3" spans="1:18" x14ac:dyDescent="0.25">
      <c r="A3" s="16"/>
      <c r="B3" s="16" t="s">
        <v>26</v>
      </c>
      <c r="C3" s="16" t="s">
        <v>1553</v>
      </c>
      <c r="D3" s="16" t="s">
        <v>1554</v>
      </c>
      <c r="E3" s="16" t="s">
        <v>1555</v>
      </c>
      <c r="F3" s="16" t="s">
        <v>40</v>
      </c>
      <c r="G3" s="17">
        <v>0</v>
      </c>
      <c r="H3" s="17">
        <v>35</v>
      </c>
      <c r="I3" s="17">
        <f t="shared" ref="I3:I37" si="0">G3-H3</f>
        <v>-35</v>
      </c>
      <c r="J3" s="16" t="s">
        <v>1556</v>
      </c>
      <c r="K3" s="16" t="s">
        <v>32</v>
      </c>
      <c r="L3" s="16" t="s">
        <v>1557</v>
      </c>
      <c r="M3" s="16"/>
      <c r="N3" s="16"/>
      <c r="O3" s="16"/>
      <c r="P3" s="16"/>
      <c r="Q3" s="16">
        <v>1</v>
      </c>
      <c r="R3" s="10">
        <f>H3</f>
        <v>35</v>
      </c>
    </row>
    <row r="4" spans="1:18" x14ac:dyDescent="0.25">
      <c r="A4" s="16"/>
      <c r="B4" s="16" t="s">
        <v>26</v>
      </c>
      <c r="C4" s="16" t="s">
        <v>69</v>
      </c>
      <c r="D4" s="16" t="s">
        <v>1558</v>
      </c>
      <c r="E4" s="16" t="s">
        <v>71</v>
      </c>
      <c r="F4" s="17">
        <v>6</v>
      </c>
      <c r="G4" s="17">
        <v>755</v>
      </c>
      <c r="H4" s="17">
        <v>25</v>
      </c>
      <c r="I4" s="17">
        <f t="shared" si="0"/>
        <v>730</v>
      </c>
      <c r="J4" s="16" t="s">
        <v>1556</v>
      </c>
      <c r="K4" s="16" t="s">
        <v>32</v>
      </c>
      <c r="L4" s="16" t="s">
        <v>1557</v>
      </c>
      <c r="M4" s="16"/>
      <c r="N4" s="16"/>
      <c r="O4" s="16"/>
      <c r="P4" s="16"/>
      <c r="Q4" s="16">
        <v>1</v>
      </c>
    </row>
    <row r="5" spans="1:18" x14ac:dyDescent="0.25">
      <c r="A5" s="16"/>
      <c r="B5" s="16" t="s">
        <v>26</v>
      </c>
      <c r="C5" s="16" t="s">
        <v>1559</v>
      </c>
      <c r="D5" s="16" t="s">
        <v>1560</v>
      </c>
      <c r="E5" s="16" t="s">
        <v>1561</v>
      </c>
      <c r="F5" s="17">
        <v>8</v>
      </c>
      <c r="G5" s="17">
        <v>970</v>
      </c>
      <c r="H5" s="17">
        <v>30</v>
      </c>
      <c r="I5" s="17">
        <f t="shared" si="0"/>
        <v>940</v>
      </c>
      <c r="J5" s="16" t="s">
        <v>1556</v>
      </c>
      <c r="K5" s="16" t="s">
        <v>32</v>
      </c>
      <c r="L5" s="16" t="s">
        <v>1557</v>
      </c>
      <c r="M5" s="16"/>
      <c r="N5" s="16"/>
      <c r="O5" s="16"/>
      <c r="P5" s="16"/>
      <c r="Q5" s="16">
        <v>1</v>
      </c>
    </row>
    <row r="6" spans="1:18" x14ac:dyDescent="0.25">
      <c r="A6" s="16"/>
      <c r="B6" s="16" t="s">
        <v>26</v>
      </c>
      <c r="C6" s="16" t="s">
        <v>1562</v>
      </c>
      <c r="D6" s="16" t="s">
        <v>1563</v>
      </c>
      <c r="E6" s="16" t="s">
        <v>1564</v>
      </c>
      <c r="F6" s="16" t="s">
        <v>40</v>
      </c>
      <c r="G6" s="17">
        <v>2440</v>
      </c>
      <c r="H6" s="17">
        <v>40</v>
      </c>
      <c r="I6" s="17">
        <f t="shared" si="0"/>
        <v>2400</v>
      </c>
      <c r="J6" s="16" t="s">
        <v>1556</v>
      </c>
      <c r="K6" s="16" t="s">
        <v>32</v>
      </c>
      <c r="L6" s="16" t="s">
        <v>1557</v>
      </c>
      <c r="M6" s="18" t="s">
        <v>55</v>
      </c>
      <c r="N6" s="16"/>
      <c r="O6" s="16"/>
      <c r="P6" s="16"/>
      <c r="Q6" s="16">
        <v>1</v>
      </c>
      <c r="R6" s="10">
        <f>H6</f>
        <v>40</v>
      </c>
    </row>
    <row r="7" spans="1:18" x14ac:dyDescent="0.25">
      <c r="A7" s="16"/>
      <c r="B7" s="16" t="s">
        <v>26</v>
      </c>
      <c r="C7" s="16" t="s">
        <v>1565</v>
      </c>
      <c r="D7" s="16" t="s">
        <v>1566</v>
      </c>
      <c r="E7" s="16" t="s">
        <v>1567</v>
      </c>
      <c r="F7" s="16" t="s">
        <v>30</v>
      </c>
      <c r="G7" s="17">
        <v>0</v>
      </c>
      <c r="H7" s="17">
        <v>25</v>
      </c>
      <c r="I7" s="17">
        <f t="shared" si="0"/>
        <v>-25</v>
      </c>
      <c r="J7" s="16" t="s">
        <v>1556</v>
      </c>
      <c r="K7" s="16" t="s">
        <v>32</v>
      </c>
      <c r="L7" s="16" t="s">
        <v>1557</v>
      </c>
      <c r="M7" s="18" t="s">
        <v>1568</v>
      </c>
      <c r="N7" s="16"/>
      <c r="O7" s="16"/>
      <c r="P7" s="16"/>
      <c r="Q7" s="16">
        <v>1</v>
      </c>
      <c r="R7" s="10">
        <f>H7</f>
        <v>25</v>
      </c>
    </row>
    <row r="8" spans="1:18" x14ac:dyDescent="0.25">
      <c r="A8" s="16"/>
      <c r="B8" s="16" t="s">
        <v>26</v>
      </c>
      <c r="C8" s="16" t="s">
        <v>1569</v>
      </c>
      <c r="D8" s="16" t="s">
        <v>1570</v>
      </c>
      <c r="E8" s="16" t="s">
        <v>1571</v>
      </c>
      <c r="F8" s="16" t="s">
        <v>30</v>
      </c>
      <c r="G8" s="17">
        <v>880</v>
      </c>
      <c r="H8" s="17">
        <v>25</v>
      </c>
      <c r="I8" s="17">
        <f t="shared" si="0"/>
        <v>855</v>
      </c>
      <c r="J8" s="16" t="s">
        <v>1556</v>
      </c>
      <c r="K8" s="16" t="s">
        <v>32</v>
      </c>
      <c r="L8" s="16" t="s">
        <v>1557</v>
      </c>
      <c r="M8" s="18" t="s">
        <v>55</v>
      </c>
      <c r="N8" s="16"/>
      <c r="O8" s="16"/>
      <c r="P8" s="16"/>
      <c r="Q8" s="16">
        <v>1</v>
      </c>
      <c r="R8" s="10">
        <f>H8</f>
        <v>25</v>
      </c>
    </row>
    <row r="9" spans="1:18" x14ac:dyDescent="0.25">
      <c r="A9" s="16"/>
      <c r="B9" s="16" t="s">
        <v>26</v>
      </c>
      <c r="C9" s="16" t="s">
        <v>1572</v>
      </c>
      <c r="D9" s="16" t="s">
        <v>1573</v>
      </c>
      <c r="E9" s="16" t="s">
        <v>1574</v>
      </c>
      <c r="F9" s="16" t="s">
        <v>40</v>
      </c>
      <c r="G9" s="17">
        <v>715</v>
      </c>
      <c r="H9" s="17">
        <v>35</v>
      </c>
      <c r="I9" s="17">
        <f t="shared" si="0"/>
        <v>680</v>
      </c>
      <c r="J9" s="16" t="s">
        <v>1556</v>
      </c>
      <c r="K9" s="16" t="s">
        <v>32</v>
      </c>
      <c r="L9" s="16" t="s">
        <v>1557</v>
      </c>
      <c r="M9" s="16"/>
      <c r="N9" s="16"/>
      <c r="O9" s="16"/>
      <c r="P9" s="16"/>
      <c r="Q9" s="16">
        <v>1</v>
      </c>
    </row>
    <row r="10" spans="1:18" x14ac:dyDescent="0.25">
      <c r="A10" s="16"/>
      <c r="B10" s="16" t="s">
        <v>26</v>
      </c>
      <c r="C10" s="16" t="s">
        <v>1575</v>
      </c>
      <c r="D10" s="16" t="s">
        <v>1576</v>
      </c>
      <c r="E10" s="16" t="s">
        <v>1577</v>
      </c>
      <c r="F10" s="16" t="s">
        <v>51</v>
      </c>
      <c r="G10" s="17">
        <v>0</v>
      </c>
      <c r="H10" s="17">
        <v>30</v>
      </c>
      <c r="I10" s="17">
        <f t="shared" si="0"/>
        <v>-30</v>
      </c>
      <c r="J10" s="16" t="s">
        <v>1556</v>
      </c>
      <c r="K10" s="16" t="s">
        <v>32</v>
      </c>
      <c r="L10" s="16" t="s">
        <v>1557</v>
      </c>
      <c r="M10" s="16"/>
      <c r="N10" s="16"/>
      <c r="O10" s="16"/>
      <c r="P10" s="16"/>
      <c r="Q10" s="16">
        <v>1</v>
      </c>
      <c r="R10" s="10">
        <f>H10</f>
        <v>30</v>
      </c>
    </row>
    <row r="11" spans="1:18" x14ac:dyDescent="0.25">
      <c r="A11" s="16"/>
      <c r="B11" s="16" t="s">
        <v>26</v>
      </c>
      <c r="C11" s="16" t="s">
        <v>1486</v>
      </c>
      <c r="D11" s="16" t="s">
        <v>1578</v>
      </c>
      <c r="E11" s="16" t="s">
        <v>1488</v>
      </c>
      <c r="F11" s="16" t="s">
        <v>51</v>
      </c>
      <c r="G11" s="17">
        <v>0</v>
      </c>
      <c r="H11" s="17">
        <v>30</v>
      </c>
      <c r="I11" s="17">
        <f t="shared" si="0"/>
        <v>-30</v>
      </c>
      <c r="J11" s="16" t="s">
        <v>1556</v>
      </c>
      <c r="K11" s="16" t="s">
        <v>32</v>
      </c>
      <c r="L11" s="16" t="s">
        <v>1557</v>
      </c>
      <c r="M11" s="16"/>
      <c r="N11" s="16"/>
      <c r="O11" s="16"/>
      <c r="P11" s="16"/>
      <c r="Q11" s="16">
        <v>1</v>
      </c>
      <c r="R11" s="10">
        <f>H11</f>
        <v>30</v>
      </c>
    </row>
    <row r="12" spans="1:18" x14ac:dyDescent="0.25">
      <c r="A12" s="16" t="s">
        <v>141</v>
      </c>
      <c r="B12" s="16" t="s">
        <v>26</v>
      </c>
      <c r="C12" s="16" t="s">
        <v>1579</v>
      </c>
      <c r="D12" s="16"/>
      <c r="E12" s="16" t="s">
        <v>1580</v>
      </c>
      <c r="F12" s="16" t="s">
        <v>30</v>
      </c>
      <c r="G12" s="17">
        <v>0</v>
      </c>
      <c r="H12" s="17">
        <v>30</v>
      </c>
      <c r="I12" s="17">
        <f t="shared" si="0"/>
        <v>-30</v>
      </c>
      <c r="J12" s="16" t="s">
        <v>1556</v>
      </c>
      <c r="K12" s="16" t="s">
        <v>32</v>
      </c>
      <c r="L12" s="16"/>
      <c r="M12" s="16" t="s">
        <v>1581</v>
      </c>
      <c r="N12" s="16"/>
      <c r="O12" s="16"/>
      <c r="P12" s="16"/>
      <c r="Q12" s="16">
        <v>1</v>
      </c>
      <c r="R12" s="10">
        <f>H12</f>
        <v>30</v>
      </c>
    </row>
    <row r="13" spans="1:18" x14ac:dyDescent="0.25">
      <c r="A13" s="16" t="s">
        <v>141</v>
      </c>
      <c r="B13" s="16" t="s">
        <v>26</v>
      </c>
      <c r="C13" s="16" t="s">
        <v>294</v>
      </c>
      <c r="D13" s="16"/>
      <c r="E13" s="16" t="s">
        <v>387</v>
      </c>
      <c r="F13" s="17">
        <v>6</v>
      </c>
      <c r="G13" s="17">
        <v>0</v>
      </c>
      <c r="H13" s="17">
        <v>30</v>
      </c>
      <c r="I13" s="17">
        <f t="shared" si="0"/>
        <v>-30</v>
      </c>
      <c r="J13" s="16" t="s">
        <v>1556</v>
      </c>
      <c r="K13" s="16" t="s">
        <v>32</v>
      </c>
      <c r="L13" s="16" t="s">
        <v>1557</v>
      </c>
      <c r="M13" s="16"/>
      <c r="N13" s="16"/>
      <c r="O13" s="16"/>
      <c r="P13" s="16"/>
      <c r="Q13" s="16">
        <v>1</v>
      </c>
      <c r="R13" s="10">
        <f>H13</f>
        <v>30</v>
      </c>
    </row>
    <row r="14" spans="1:18" x14ac:dyDescent="0.25">
      <c r="A14" s="16"/>
      <c r="B14" s="16" t="s">
        <v>26</v>
      </c>
      <c r="C14" s="16" t="s">
        <v>1582</v>
      </c>
      <c r="D14" s="16" t="s">
        <v>1583</v>
      </c>
      <c r="E14" s="16" t="s">
        <v>1584</v>
      </c>
      <c r="F14" s="16" t="s">
        <v>89</v>
      </c>
      <c r="G14" s="17">
        <v>720</v>
      </c>
      <c r="H14" s="17">
        <v>30</v>
      </c>
      <c r="I14" s="17">
        <f t="shared" si="0"/>
        <v>690</v>
      </c>
      <c r="J14" s="16" t="s">
        <v>32</v>
      </c>
      <c r="K14" s="16" t="s">
        <v>32</v>
      </c>
      <c r="L14" s="16" t="s">
        <v>1557</v>
      </c>
      <c r="M14" s="16"/>
      <c r="N14" s="16"/>
      <c r="O14" s="16"/>
      <c r="P14" s="16"/>
      <c r="Q14" s="16">
        <v>1</v>
      </c>
    </row>
    <row r="15" spans="1:18" x14ac:dyDescent="0.25">
      <c r="A15" s="16"/>
      <c r="B15" s="16" t="s">
        <v>26</v>
      </c>
      <c r="C15" s="16" t="s">
        <v>1585</v>
      </c>
      <c r="D15" s="16" t="s">
        <v>1586</v>
      </c>
      <c r="E15" s="16" t="s">
        <v>1587</v>
      </c>
      <c r="F15" s="17">
        <v>2</v>
      </c>
      <c r="G15" s="17">
        <v>2290</v>
      </c>
      <c r="H15" s="17">
        <v>35</v>
      </c>
      <c r="I15" s="17">
        <f t="shared" si="0"/>
        <v>2255</v>
      </c>
      <c r="J15" s="16" t="s">
        <v>32</v>
      </c>
      <c r="K15" s="16" t="s">
        <v>32</v>
      </c>
      <c r="L15" s="16" t="s">
        <v>1557</v>
      </c>
      <c r="M15" s="18" t="s">
        <v>55</v>
      </c>
      <c r="N15" s="16"/>
      <c r="O15" s="16"/>
      <c r="P15" s="16"/>
      <c r="Q15" s="16">
        <v>1</v>
      </c>
      <c r="R15" s="10">
        <f>H15</f>
        <v>35</v>
      </c>
    </row>
    <row r="16" spans="1:18" x14ac:dyDescent="0.25">
      <c r="A16" s="16"/>
      <c r="B16" s="16" t="s">
        <v>26</v>
      </c>
      <c r="C16" s="16" t="s">
        <v>1588</v>
      </c>
      <c r="D16" s="16" t="s">
        <v>1589</v>
      </c>
      <c r="E16" s="16" t="s">
        <v>1590</v>
      </c>
      <c r="F16" s="16" t="s">
        <v>82</v>
      </c>
      <c r="G16" s="17">
        <v>0</v>
      </c>
      <c r="H16" s="17">
        <v>25</v>
      </c>
      <c r="I16" s="17">
        <f t="shared" si="0"/>
        <v>-25</v>
      </c>
      <c r="J16" s="16" t="s">
        <v>32</v>
      </c>
      <c r="K16" s="16" t="s">
        <v>32</v>
      </c>
      <c r="L16" s="16" t="s">
        <v>1557</v>
      </c>
      <c r="M16" s="16"/>
      <c r="N16" s="16"/>
      <c r="O16" s="16"/>
      <c r="P16" s="16"/>
      <c r="Q16" s="16">
        <v>1</v>
      </c>
      <c r="R16" s="10">
        <f>H16</f>
        <v>25</v>
      </c>
    </row>
    <row r="17" spans="1:18" x14ac:dyDescent="0.25">
      <c r="A17" s="16"/>
      <c r="B17" s="16" t="s">
        <v>26</v>
      </c>
      <c r="C17" s="16" t="s">
        <v>1591</v>
      </c>
      <c r="D17" s="16" t="s">
        <v>1592</v>
      </c>
      <c r="E17" s="16" t="s">
        <v>1593</v>
      </c>
      <c r="F17" s="17">
        <v>12</v>
      </c>
      <c r="G17" s="17">
        <v>860</v>
      </c>
      <c r="H17" s="17">
        <v>30</v>
      </c>
      <c r="I17" s="17">
        <f t="shared" si="0"/>
        <v>830</v>
      </c>
      <c r="J17" s="16" t="s">
        <v>32</v>
      </c>
      <c r="K17" s="16" t="s">
        <v>32</v>
      </c>
      <c r="L17" s="16" t="s">
        <v>1557</v>
      </c>
      <c r="M17" s="16"/>
      <c r="N17" s="16"/>
      <c r="O17" s="16"/>
      <c r="P17" s="16"/>
      <c r="Q17" s="16">
        <v>1</v>
      </c>
    </row>
    <row r="18" spans="1:18" x14ac:dyDescent="0.25">
      <c r="A18" s="16"/>
      <c r="B18" s="16" t="s">
        <v>26</v>
      </c>
      <c r="C18" s="16" t="s">
        <v>1594</v>
      </c>
      <c r="D18" s="16" t="s">
        <v>1595</v>
      </c>
      <c r="E18" s="16" t="s">
        <v>1596</v>
      </c>
      <c r="F18" s="17">
        <v>12</v>
      </c>
      <c r="G18" s="17">
        <v>0</v>
      </c>
      <c r="H18" s="17">
        <v>30</v>
      </c>
      <c r="I18" s="17">
        <f t="shared" si="0"/>
        <v>-30</v>
      </c>
      <c r="J18" s="16" t="s">
        <v>32</v>
      </c>
      <c r="K18" s="16" t="s">
        <v>32</v>
      </c>
      <c r="L18" s="16" t="s">
        <v>1557</v>
      </c>
      <c r="M18" s="16"/>
      <c r="N18" s="16"/>
      <c r="O18" s="16"/>
      <c r="P18" s="16"/>
      <c r="Q18" s="16">
        <v>1</v>
      </c>
      <c r="R18" s="10">
        <f>H18</f>
        <v>30</v>
      </c>
    </row>
    <row r="19" spans="1:18" x14ac:dyDescent="0.25">
      <c r="A19" s="16"/>
      <c r="B19" s="16" t="s">
        <v>26</v>
      </c>
      <c r="C19" s="16" t="s">
        <v>1597</v>
      </c>
      <c r="D19" s="16" t="s">
        <v>1598</v>
      </c>
      <c r="E19" s="16" t="s">
        <v>1599</v>
      </c>
      <c r="F19" s="17">
        <v>9</v>
      </c>
      <c r="G19" s="17">
        <v>890</v>
      </c>
      <c r="H19" s="17">
        <v>30</v>
      </c>
      <c r="I19" s="17">
        <f t="shared" si="0"/>
        <v>860</v>
      </c>
      <c r="J19" s="16" t="s">
        <v>32</v>
      </c>
      <c r="K19" s="16" t="s">
        <v>32</v>
      </c>
      <c r="L19" s="16" t="s">
        <v>1557</v>
      </c>
      <c r="M19" s="16"/>
      <c r="N19" s="16"/>
      <c r="O19" s="16"/>
      <c r="P19" s="16"/>
      <c r="Q19" s="16">
        <v>1</v>
      </c>
    </row>
    <row r="20" spans="1:18" x14ac:dyDescent="0.25">
      <c r="A20" s="16"/>
      <c r="B20" s="16" t="s">
        <v>26</v>
      </c>
      <c r="C20" s="16" t="s">
        <v>1600</v>
      </c>
      <c r="D20" s="16" t="s">
        <v>1601</v>
      </c>
      <c r="E20" s="16" t="s">
        <v>1602</v>
      </c>
      <c r="F20" s="16" t="s">
        <v>82</v>
      </c>
      <c r="G20" s="17">
        <v>1145</v>
      </c>
      <c r="H20" s="17">
        <v>25</v>
      </c>
      <c r="I20" s="17">
        <f t="shared" si="0"/>
        <v>1120</v>
      </c>
      <c r="J20" s="16" t="s">
        <v>32</v>
      </c>
      <c r="K20" s="16" t="s">
        <v>32</v>
      </c>
      <c r="L20" s="16" t="s">
        <v>1557</v>
      </c>
      <c r="M20" s="16"/>
      <c r="N20" s="16"/>
      <c r="O20" s="16"/>
      <c r="P20" s="16"/>
      <c r="Q20" s="16">
        <v>1</v>
      </c>
    </row>
    <row r="21" spans="1:18" x14ac:dyDescent="0.25">
      <c r="A21" s="16"/>
      <c r="B21" s="16" t="s">
        <v>26</v>
      </c>
      <c r="C21" s="16" t="s">
        <v>1171</v>
      </c>
      <c r="D21" s="16" t="s">
        <v>1603</v>
      </c>
      <c r="E21" s="16" t="s">
        <v>1173</v>
      </c>
      <c r="F21" s="17">
        <v>9</v>
      </c>
      <c r="G21" s="17">
        <v>720</v>
      </c>
      <c r="H21" s="17">
        <v>30</v>
      </c>
      <c r="I21" s="17">
        <f t="shared" si="0"/>
        <v>690</v>
      </c>
      <c r="J21" s="16" t="s">
        <v>32</v>
      </c>
      <c r="K21" s="16" t="s">
        <v>32</v>
      </c>
      <c r="L21" s="16" t="s">
        <v>1557</v>
      </c>
      <c r="M21" s="16"/>
      <c r="N21" s="16"/>
      <c r="O21" s="16"/>
      <c r="P21" s="16"/>
      <c r="Q21" s="16">
        <v>1</v>
      </c>
    </row>
    <row r="22" spans="1:18" x14ac:dyDescent="0.25">
      <c r="A22" s="16"/>
      <c r="B22" s="16" t="s">
        <v>26</v>
      </c>
      <c r="C22" s="16" t="s">
        <v>1604</v>
      </c>
      <c r="D22" s="16" t="s">
        <v>1605</v>
      </c>
      <c r="E22" s="16" t="s">
        <v>1606</v>
      </c>
      <c r="F22" s="16" t="s">
        <v>82</v>
      </c>
      <c r="G22" s="17">
        <v>965</v>
      </c>
      <c r="H22" s="17">
        <v>25</v>
      </c>
      <c r="I22" s="17">
        <f t="shared" si="0"/>
        <v>940</v>
      </c>
      <c r="J22" s="16" t="s">
        <v>32</v>
      </c>
      <c r="K22" s="16" t="s">
        <v>32</v>
      </c>
      <c r="L22" s="16" t="s">
        <v>1557</v>
      </c>
      <c r="M22" s="16"/>
      <c r="N22" s="16"/>
      <c r="O22" s="16"/>
      <c r="P22" s="16"/>
      <c r="Q22" s="16">
        <v>1</v>
      </c>
    </row>
    <row r="23" spans="1:18" x14ac:dyDescent="0.25">
      <c r="A23" s="16"/>
      <c r="B23" s="16" t="s">
        <v>26</v>
      </c>
      <c r="C23" s="16" t="s">
        <v>1607</v>
      </c>
      <c r="D23" s="16" t="s">
        <v>1608</v>
      </c>
      <c r="E23" s="16" t="s">
        <v>1609</v>
      </c>
      <c r="F23" s="17">
        <v>2</v>
      </c>
      <c r="G23" s="17">
        <v>820</v>
      </c>
      <c r="H23" s="17">
        <v>30</v>
      </c>
      <c r="I23" s="17">
        <f t="shared" si="0"/>
        <v>790</v>
      </c>
      <c r="J23" s="16" t="s">
        <v>32</v>
      </c>
      <c r="K23" s="16" t="s">
        <v>32</v>
      </c>
      <c r="L23" s="16" t="s">
        <v>1557</v>
      </c>
      <c r="M23" s="16"/>
      <c r="N23" s="16"/>
      <c r="O23" s="16"/>
      <c r="P23" s="16"/>
      <c r="Q23" s="16">
        <v>1</v>
      </c>
    </row>
    <row r="24" spans="1:18" x14ac:dyDescent="0.25">
      <c r="A24" s="16"/>
      <c r="B24" s="16" t="s">
        <v>26</v>
      </c>
      <c r="C24" s="16" t="s">
        <v>1610</v>
      </c>
      <c r="D24" s="16" t="s">
        <v>1611</v>
      </c>
      <c r="E24" s="16" t="s">
        <v>1612</v>
      </c>
      <c r="F24" s="17">
        <v>12</v>
      </c>
      <c r="G24" s="17">
        <v>1310</v>
      </c>
      <c r="H24" s="17">
        <v>30</v>
      </c>
      <c r="I24" s="17">
        <f t="shared" si="0"/>
        <v>1280</v>
      </c>
      <c r="J24" s="16" t="s">
        <v>32</v>
      </c>
      <c r="K24" s="16" t="s">
        <v>32</v>
      </c>
      <c r="L24" s="16" t="s">
        <v>1557</v>
      </c>
      <c r="M24" s="16"/>
      <c r="N24" s="16"/>
      <c r="O24" s="16"/>
      <c r="P24" s="16"/>
      <c r="Q24" s="16">
        <v>1</v>
      </c>
    </row>
    <row r="25" spans="1:18" x14ac:dyDescent="0.25">
      <c r="A25" s="16"/>
      <c r="B25" s="16" t="s">
        <v>26</v>
      </c>
      <c r="C25" s="16" t="s">
        <v>1613</v>
      </c>
      <c r="D25" s="16" t="s">
        <v>1614</v>
      </c>
      <c r="E25" s="16" t="s">
        <v>1615</v>
      </c>
      <c r="F25" s="16" t="s">
        <v>82</v>
      </c>
      <c r="G25" s="17">
        <v>615</v>
      </c>
      <c r="H25" s="17">
        <v>25</v>
      </c>
      <c r="I25" s="17">
        <f t="shared" si="0"/>
        <v>590</v>
      </c>
      <c r="J25" s="16" t="s">
        <v>32</v>
      </c>
      <c r="K25" s="16" t="s">
        <v>32</v>
      </c>
      <c r="L25" s="16" t="s">
        <v>1557</v>
      </c>
      <c r="M25" s="16"/>
      <c r="N25" s="16"/>
      <c r="O25" s="16"/>
      <c r="P25" s="16"/>
      <c r="Q25" s="16">
        <v>1</v>
      </c>
    </row>
    <row r="26" spans="1:18" s="21" customFormat="1" x14ac:dyDescent="0.25">
      <c r="A26" s="19"/>
      <c r="B26" s="19" t="s">
        <v>26</v>
      </c>
      <c r="C26" s="19" t="s">
        <v>1290</v>
      </c>
      <c r="D26" s="19" t="s">
        <v>1616</v>
      </c>
      <c r="E26" s="19" t="s">
        <v>1292</v>
      </c>
      <c r="F26" s="20">
        <v>9</v>
      </c>
      <c r="G26" s="20">
        <v>30</v>
      </c>
      <c r="H26" s="20">
        <v>30</v>
      </c>
      <c r="I26" s="20">
        <f t="shared" si="0"/>
        <v>0</v>
      </c>
      <c r="J26" s="19" t="s">
        <v>32</v>
      </c>
      <c r="K26" s="19" t="s">
        <v>32</v>
      </c>
      <c r="L26" s="19" t="s">
        <v>1557</v>
      </c>
      <c r="M26" s="19" t="s">
        <v>68</v>
      </c>
      <c r="N26" s="19"/>
      <c r="O26" s="19"/>
      <c r="P26" s="19"/>
      <c r="Q26" s="19">
        <v>1</v>
      </c>
    </row>
    <row r="27" spans="1:18" x14ac:dyDescent="0.25">
      <c r="A27" s="16" t="s">
        <v>141</v>
      </c>
      <c r="B27" s="16" t="s">
        <v>26</v>
      </c>
      <c r="C27" s="16" t="s">
        <v>1617</v>
      </c>
      <c r="D27" s="16"/>
      <c r="E27" s="16" t="s">
        <v>1618</v>
      </c>
      <c r="F27" s="16" t="s">
        <v>93</v>
      </c>
      <c r="G27" s="17">
        <v>0</v>
      </c>
      <c r="H27" s="17">
        <v>45</v>
      </c>
      <c r="I27" s="17">
        <f t="shared" si="0"/>
        <v>-45</v>
      </c>
      <c r="J27" s="16" t="s">
        <v>32</v>
      </c>
      <c r="K27" s="16" t="s">
        <v>32</v>
      </c>
      <c r="L27" s="16" t="s">
        <v>1557</v>
      </c>
      <c r="M27" s="16"/>
      <c r="N27" s="16"/>
      <c r="O27" s="16"/>
      <c r="P27" s="16"/>
      <c r="Q27" s="16">
        <v>1</v>
      </c>
      <c r="R27" s="10">
        <f>H27</f>
        <v>45</v>
      </c>
    </row>
    <row r="28" spans="1:18" x14ac:dyDescent="0.25">
      <c r="A28" s="16"/>
      <c r="B28" s="16" t="s">
        <v>26</v>
      </c>
      <c r="C28" s="16" t="s">
        <v>1619</v>
      </c>
      <c r="D28" s="16" t="s">
        <v>1620</v>
      </c>
      <c r="E28" s="16" t="s">
        <v>1621</v>
      </c>
      <c r="F28" s="17">
        <v>5</v>
      </c>
      <c r="G28" s="17">
        <v>1205</v>
      </c>
      <c r="H28" s="17">
        <v>25</v>
      </c>
      <c r="I28" s="17">
        <f t="shared" si="0"/>
        <v>1180</v>
      </c>
      <c r="J28" s="16" t="s">
        <v>103</v>
      </c>
      <c r="K28" s="16" t="s">
        <v>32</v>
      </c>
      <c r="L28" s="16" t="s">
        <v>1557</v>
      </c>
      <c r="M28" s="16"/>
      <c r="N28" s="16"/>
      <c r="O28" s="16"/>
      <c r="P28" s="16"/>
      <c r="Q28" s="16">
        <v>1</v>
      </c>
    </row>
    <row r="29" spans="1:18" x14ac:dyDescent="0.25">
      <c r="A29" s="16"/>
      <c r="B29" s="16" t="s">
        <v>26</v>
      </c>
      <c r="C29" s="16" t="s">
        <v>1622</v>
      </c>
      <c r="D29" s="16" t="s">
        <v>1623</v>
      </c>
      <c r="E29" s="16" t="s">
        <v>1624</v>
      </c>
      <c r="F29" s="17">
        <v>7</v>
      </c>
      <c r="G29" s="17">
        <v>1650</v>
      </c>
      <c r="H29" s="17">
        <v>30</v>
      </c>
      <c r="I29" s="17">
        <f t="shared" si="0"/>
        <v>1620</v>
      </c>
      <c r="J29" s="16" t="s">
        <v>103</v>
      </c>
      <c r="K29" s="16" t="s">
        <v>32</v>
      </c>
      <c r="L29" s="16" t="s">
        <v>1557</v>
      </c>
      <c r="M29" s="16"/>
      <c r="N29" s="16"/>
      <c r="O29" s="16"/>
      <c r="P29" s="16"/>
      <c r="Q29" s="16">
        <v>1</v>
      </c>
    </row>
    <row r="30" spans="1:18" x14ac:dyDescent="0.25">
      <c r="A30" s="16"/>
      <c r="B30" s="16" t="s">
        <v>26</v>
      </c>
      <c r="C30" s="16" t="s">
        <v>1625</v>
      </c>
      <c r="D30" s="16" t="s">
        <v>1626</v>
      </c>
      <c r="E30" s="16" t="s">
        <v>1627</v>
      </c>
      <c r="F30" s="16" t="s">
        <v>243</v>
      </c>
      <c r="G30" s="17">
        <v>815</v>
      </c>
      <c r="H30" s="17">
        <v>35</v>
      </c>
      <c r="I30" s="17">
        <f t="shared" si="0"/>
        <v>780</v>
      </c>
      <c r="J30" s="16" t="s">
        <v>103</v>
      </c>
      <c r="K30" s="16" t="s">
        <v>32</v>
      </c>
      <c r="L30" s="16" t="s">
        <v>1557</v>
      </c>
      <c r="M30" s="16"/>
      <c r="N30" s="16"/>
      <c r="O30" s="16"/>
      <c r="P30" s="16"/>
      <c r="Q30" s="16">
        <v>1</v>
      </c>
    </row>
    <row r="31" spans="1:18" x14ac:dyDescent="0.25">
      <c r="A31" s="16"/>
      <c r="B31" s="16" t="s">
        <v>26</v>
      </c>
      <c r="C31" s="16" t="s">
        <v>1628</v>
      </c>
      <c r="D31" s="16" t="s">
        <v>1629</v>
      </c>
      <c r="E31" s="16" t="s">
        <v>1630</v>
      </c>
      <c r="F31" s="16" t="s">
        <v>93</v>
      </c>
      <c r="G31" s="17">
        <v>915</v>
      </c>
      <c r="H31" s="17">
        <v>25</v>
      </c>
      <c r="I31" s="17">
        <f t="shared" si="0"/>
        <v>890</v>
      </c>
      <c r="J31" s="16" t="s">
        <v>103</v>
      </c>
      <c r="K31" s="16" t="s">
        <v>32</v>
      </c>
      <c r="L31" s="16" t="s">
        <v>1557</v>
      </c>
      <c r="M31" s="16"/>
      <c r="N31" s="16"/>
      <c r="O31" s="16"/>
      <c r="P31" s="16"/>
      <c r="Q31" s="16">
        <v>1</v>
      </c>
    </row>
    <row r="32" spans="1:18" x14ac:dyDescent="0.25">
      <c r="A32" s="16"/>
      <c r="B32" s="16" t="s">
        <v>26</v>
      </c>
      <c r="C32" s="16" t="s">
        <v>1631</v>
      </c>
      <c r="D32" s="16" t="s">
        <v>1632</v>
      </c>
      <c r="E32" s="16" t="s">
        <v>1633</v>
      </c>
      <c r="F32" s="17">
        <v>8</v>
      </c>
      <c r="G32" s="17">
        <v>910</v>
      </c>
      <c r="H32" s="17">
        <v>30</v>
      </c>
      <c r="I32" s="17">
        <f t="shared" si="0"/>
        <v>880</v>
      </c>
      <c r="J32" s="16" t="s">
        <v>103</v>
      </c>
      <c r="K32" s="16" t="s">
        <v>32</v>
      </c>
      <c r="L32" s="16" t="s">
        <v>1557</v>
      </c>
      <c r="M32" s="16"/>
      <c r="N32" s="16"/>
      <c r="O32" s="16"/>
      <c r="P32" s="16"/>
      <c r="Q32" s="16">
        <v>1</v>
      </c>
    </row>
    <row r="33" spans="1:18" x14ac:dyDescent="0.25">
      <c r="A33" s="16"/>
      <c r="B33" s="16" t="s">
        <v>26</v>
      </c>
      <c r="C33" s="16" t="s">
        <v>1120</v>
      </c>
      <c r="D33" s="16" t="s">
        <v>1634</v>
      </c>
      <c r="E33" s="16" t="s">
        <v>1122</v>
      </c>
      <c r="F33" s="17">
        <v>10</v>
      </c>
      <c r="G33" s="17">
        <v>0</v>
      </c>
      <c r="H33" s="17">
        <v>25</v>
      </c>
      <c r="I33" s="17">
        <f t="shared" si="0"/>
        <v>-25</v>
      </c>
      <c r="J33" s="16" t="s">
        <v>103</v>
      </c>
      <c r="K33" s="16" t="s">
        <v>32</v>
      </c>
      <c r="L33" s="16" t="s">
        <v>1557</v>
      </c>
      <c r="M33" s="16"/>
      <c r="N33" s="16"/>
      <c r="O33" s="16"/>
      <c r="P33" s="16"/>
      <c r="Q33" s="16">
        <v>1</v>
      </c>
      <c r="R33" s="10">
        <f>H33</f>
        <v>25</v>
      </c>
    </row>
    <row r="34" spans="1:18" x14ac:dyDescent="0.25">
      <c r="A34" s="16"/>
      <c r="B34" s="16" t="s">
        <v>26</v>
      </c>
      <c r="C34" s="16" t="s">
        <v>1635</v>
      </c>
      <c r="D34" s="16" t="s">
        <v>1636</v>
      </c>
      <c r="E34" s="16" t="s">
        <v>1637</v>
      </c>
      <c r="F34" s="17">
        <v>8</v>
      </c>
      <c r="G34" s="17">
        <v>0</v>
      </c>
      <c r="H34" s="17">
        <v>30</v>
      </c>
      <c r="I34" s="17">
        <f t="shared" si="0"/>
        <v>-30</v>
      </c>
      <c r="J34" s="16" t="s">
        <v>103</v>
      </c>
      <c r="K34" s="16" t="s">
        <v>32</v>
      </c>
      <c r="L34" s="16" t="s">
        <v>1557</v>
      </c>
      <c r="M34" s="16"/>
      <c r="N34" s="16"/>
      <c r="O34" s="16"/>
      <c r="P34" s="16"/>
      <c r="Q34" s="16">
        <v>1</v>
      </c>
      <c r="R34" s="10">
        <f>H34</f>
        <v>30</v>
      </c>
    </row>
    <row r="35" spans="1:18" x14ac:dyDescent="0.25">
      <c r="A35" s="16"/>
      <c r="B35" s="16" t="s">
        <v>26</v>
      </c>
      <c r="C35" s="16" t="s">
        <v>1638</v>
      </c>
      <c r="D35" s="16" t="s">
        <v>1639</v>
      </c>
      <c r="E35" s="16" t="s">
        <v>1640</v>
      </c>
      <c r="F35" s="16" t="s">
        <v>93</v>
      </c>
      <c r="G35" s="17">
        <v>0</v>
      </c>
      <c r="H35" s="17">
        <v>25</v>
      </c>
      <c r="I35" s="17">
        <f t="shared" si="0"/>
        <v>-25</v>
      </c>
      <c r="J35" s="16" t="s">
        <v>103</v>
      </c>
      <c r="K35" s="16" t="s">
        <v>32</v>
      </c>
      <c r="L35" s="16" t="s">
        <v>1557</v>
      </c>
      <c r="M35" s="16"/>
      <c r="N35" s="16"/>
      <c r="O35" s="16"/>
      <c r="P35" s="16"/>
      <c r="Q35" s="16">
        <v>1</v>
      </c>
      <c r="R35" s="10">
        <f>H35</f>
        <v>25</v>
      </c>
    </row>
    <row r="36" spans="1:18" x14ac:dyDescent="0.25">
      <c r="A36" s="16"/>
      <c r="B36" s="16" t="s">
        <v>26</v>
      </c>
      <c r="C36" s="16" t="s">
        <v>1641</v>
      </c>
      <c r="D36" s="16" t="s">
        <v>1642</v>
      </c>
      <c r="E36" s="16" t="s">
        <v>1643</v>
      </c>
      <c r="F36" s="16" t="s">
        <v>93</v>
      </c>
      <c r="G36" s="17">
        <v>25</v>
      </c>
      <c r="H36" s="17">
        <v>25</v>
      </c>
      <c r="I36" s="17">
        <f t="shared" si="0"/>
        <v>0</v>
      </c>
      <c r="J36" s="16" t="s">
        <v>103</v>
      </c>
      <c r="K36" s="16" t="s">
        <v>32</v>
      </c>
      <c r="L36" s="16" t="s">
        <v>1557</v>
      </c>
      <c r="M36" s="16"/>
      <c r="N36" s="16"/>
      <c r="O36" s="16"/>
      <c r="P36" s="16"/>
      <c r="Q36" s="16">
        <v>1</v>
      </c>
    </row>
    <row r="37" spans="1:18" s="2" customFormat="1" x14ac:dyDescent="0.25">
      <c r="A37" s="23"/>
      <c r="B37" s="23" t="s">
        <v>26</v>
      </c>
      <c r="C37" s="23" t="s">
        <v>1500</v>
      </c>
      <c r="D37" s="23" t="s">
        <v>1503</v>
      </c>
      <c r="E37" s="23" t="s">
        <v>1504</v>
      </c>
      <c r="F37" s="23" t="s">
        <v>89</v>
      </c>
      <c r="G37" s="24">
        <v>890</v>
      </c>
      <c r="H37" s="24">
        <v>0</v>
      </c>
      <c r="I37" s="24">
        <f t="shared" si="0"/>
        <v>890</v>
      </c>
      <c r="J37" s="23" t="s">
        <v>269</v>
      </c>
      <c r="K37" s="23" t="s">
        <v>32</v>
      </c>
      <c r="L37" s="23" t="s">
        <v>1468</v>
      </c>
      <c r="M37" s="23" t="s">
        <v>157</v>
      </c>
      <c r="N37" s="23" t="s">
        <v>271</v>
      </c>
      <c r="O37" s="23" t="s">
        <v>271</v>
      </c>
      <c r="P37" s="23" t="s">
        <v>272</v>
      </c>
      <c r="Q37" s="23">
        <v>1</v>
      </c>
    </row>
    <row r="39" spans="1:18" x14ac:dyDescent="0.25">
      <c r="D39" s="1">
        <f>COUNTA(D3:D37)</f>
        <v>32</v>
      </c>
      <c r="G39" s="1">
        <f t="shared" ref="G39:Q39" si="1">SUBTOTAL(9,G3:G37)</f>
        <v>22535</v>
      </c>
      <c r="H39" s="1">
        <f t="shared" si="1"/>
        <v>1005</v>
      </c>
      <c r="I39" s="1">
        <f t="shared" si="1"/>
        <v>21530</v>
      </c>
      <c r="J39" s="1">
        <f t="shared" si="1"/>
        <v>0</v>
      </c>
      <c r="K39" s="1">
        <f t="shared" si="1"/>
        <v>0</v>
      </c>
      <c r="L39" s="1">
        <f t="shared" si="1"/>
        <v>0</v>
      </c>
      <c r="M39" s="1">
        <f t="shared" si="1"/>
        <v>0</v>
      </c>
      <c r="N39" s="1">
        <f t="shared" si="1"/>
        <v>0</v>
      </c>
      <c r="O39" s="1">
        <f t="shared" si="1"/>
        <v>0</v>
      </c>
      <c r="P39" s="1">
        <f t="shared" si="1"/>
        <v>0</v>
      </c>
      <c r="Q39" s="1">
        <f t="shared" si="1"/>
        <v>35</v>
      </c>
    </row>
    <row r="40" spans="1:18" x14ac:dyDescent="0.25">
      <c r="H40">
        <f>-6*17</f>
        <v>-102</v>
      </c>
    </row>
    <row r="41" spans="1:18" x14ac:dyDescent="0.25">
      <c r="A41" s="1" t="s">
        <v>26</v>
      </c>
      <c r="C41" s="34" t="s">
        <v>144</v>
      </c>
      <c r="D41" s="34"/>
      <c r="E41" s="4" t="s">
        <v>145</v>
      </c>
      <c r="H41">
        <f>-2*25</f>
        <v>-50</v>
      </c>
      <c r="K41" s="11" t="s">
        <v>1556</v>
      </c>
      <c r="L41" s="11" t="s">
        <v>146</v>
      </c>
      <c r="M41" s="11" t="s">
        <v>145</v>
      </c>
      <c r="O41" s="4" t="s">
        <v>147</v>
      </c>
    </row>
    <row r="42" spans="1:18" x14ac:dyDescent="0.25">
      <c r="A42" t="s">
        <v>1557</v>
      </c>
      <c r="B42" s="3" t="s">
        <v>148</v>
      </c>
      <c r="C42" s="35">
        <f>SUMIFS(I$3:I$37,B$3:B$37,A$41,L$3:L$37,A$42)</f>
        <v>20670</v>
      </c>
      <c r="D42" s="35"/>
      <c r="E42" s="3">
        <f>SUMIFS(Q$3:Q$37,B$3:B$37,A$41,L$3:L$37,A$42)</f>
        <v>33</v>
      </c>
      <c r="F42" t="s">
        <v>149</v>
      </c>
      <c r="H42">
        <f>-3*30</f>
        <v>-90</v>
      </c>
      <c r="K42" t="s">
        <v>150</v>
      </c>
      <c r="L42">
        <f>SUMIFS(G$3:G$37,J$3:J$37,K$41)</f>
        <v>5760</v>
      </c>
      <c r="M42">
        <f>SUMIFS(Q$3:Q$37,J$3:J$37,K$41)-INT(COUNTIFS(J$3:J$37,K$41,M$3:M$37,"*gộp*")/2)</f>
        <v>11</v>
      </c>
      <c r="O42" t="s">
        <v>1644</v>
      </c>
      <c r="P42">
        <f>L47</f>
        <v>5518</v>
      </c>
    </row>
    <row r="43" spans="1:18" x14ac:dyDescent="0.25">
      <c r="B43" s="2" t="s">
        <v>152</v>
      </c>
      <c r="C43" s="36">
        <v>0</v>
      </c>
      <c r="D43" s="36"/>
      <c r="K43" t="s">
        <v>153</v>
      </c>
      <c r="L43">
        <f>SUM(H40:H42)</f>
        <v>-242</v>
      </c>
      <c r="M43">
        <f>SUMIFS(Q$3:Q$37,J$3:J$37,K$41)-INT(COUNTIFS(J$3:J$37,K$41,M$3:M$37,"*gộp*")/2)</f>
        <v>11</v>
      </c>
      <c r="O43" t="s">
        <v>32</v>
      </c>
      <c r="P43">
        <f>L55</f>
        <v>9061</v>
      </c>
    </row>
    <row r="44" spans="1:18" x14ac:dyDescent="0.25">
      <c r="B44" s="2" t="s">
        <v>154</v>
      </c>
      <c r="C44" s="36">
        <f>-SUMIFS(I$3:I$37,B$3:B$37,A$41,P$3:P$37,"xx",N$3:N$37,"x")</f>
        <v>-890</v>
      </c>
      <c r="D44" s="36"/>
      <c r="E44" s="2">
        <f>SUMIFS(Q$3:Q$37,B$3:B$37,A$41,P$3:P$37,"xx",N$3:N$37,"x")</f>
        <v>1</v>
      </c>
      <c r="K44" t="s">
        <v>155</v>
      </c>
      <c r="O44" t="s">
        <v>103</v>
      </c>
      <c r="P44">
        <f>L63</f>
        <v>5315</v>
      </c>
    </row>
    <row r="45" spans="1:18" x14ac:dyDescent="0.25">
      <c r="B45" s="4" t="s">
        <v>156</v>
      </c>
      <c r="C45" s="34">
        <f>SUBTOTAL(9,C42:C44)</f>
        <v>19780</v>
      </c>
      <c r="D45" s="34"/>
      <c r="E45">
        <f>E42</f>
        <v>33</v>
      </c>
      <c r="K45" s="12" t="s">
        <v>157</v>
      </c>
      <c r="O45" t="s">
        <v>158</v>
      </c>
      <c r="P45">
        <f>-C49</f>
        <v>-19780</v>
      </c>
    </row>
    <row r="46" spans="1:18" x14ac:dyDescent="0.25">
      <c r="B46" s="2" t="s">
        <v>159</v>
      </c>
      <c r="C46" s="32"/>
      <c r="D46" s="32"/>
      <c r="K46" s="2" t="s">
        <v>160</v>
      </c>
      <c r="O46" s="4" t="s">
        <v>161</v>
      </c>
      <c r="P46" s="4">
        <f>SUBTOTAL(9,P42:P45)</f>
        <v>114</v>
      </c>
    </row>
    <row r="47" spans="1:18" x14ac:dyDescent="0.25">
      <c r="B47" s="13" t="s">
        <v>162</v>
      </c>
      <c r="C47" s="32"/>
      <c r="D47" s="32"/>
      <c r="L47" s="14">
        <f>SUBTOTAL(9,L42:L46)</f>
        <v>5518</v>
      </c>
      <c r="M47" s="14">
        <f>M42</f>
        <v>11</v>
      </c>
    </row>
    <row r="49" spans="2:13" x14ac:dyDescent="0.25">
      <c r="B49" s="1" t="s">
        <v>163</v>
      </c>
      <c r="C49" s="33">
        <f>C45+C46+C47</f>
        <v>19780</v>
      </c>
      <c r="D49" s="33"/>
      <c r="E49" s="1" t="s">
        <v>164</v>
      </c>
      <c r="K49" s="11" t="s">
        <v>32</v>
      </c>
      <c r="L49" s="11" t="s">
        <v>146</v>
      </c>
      <c r="M49" s="11" t="s">
        <v>145</v>
      </c>
    </row>
    <row r="50" spans="2:13" x14ac:dyDescent="0.25">
      <c r="K50" t="s">
        <v>150</v>
      </c>
      <c r="L50">
        <f>SUMIFS(G$3:G$37,J$3:J$37,K$49)</f>
        <v>10365</v>
      </c>
      <c r="M50">
        <f>SUMIFS(Q$3:Q$37,J$3:J$37,K$49)-INT(COUNTIFS(J$3:J$37,K$49,M$3:M$37,"*gộp*")/2)</f>
        <v>14</v>
      </c>
    </row>
    <row r="51" spans="2:13" x14ac:dyDescent="0.25">
      <c r="K51" t="s">
        <v>153</v>
      </c>
      <c r="L51">
        <f>-SUMIFS(H$3:H$37,J$3:J$37,K$49)+M51*5</f>
        <v>-350</v>
      </c>
      <c r="M51">
        <f>SUMIFS(Q$3:Q$37,J$3:J$37,K$49)-INT(COUNTIFS(J$3:J$37,K$49,M$3:M$37,"*gộp*")/2)</f>
        <v>14</v>
      </c>
    </row>
    <row r="52" spans="2:13" x14ac:dyDescent="0.25">
      <c r="K52" t="s">
        <v>155</v>
      </c>
      <c r="L52">
        <f>-M52*2</f>
        <v>-64</v>
      </c>
      <c r="M52">
        <f>E45-(COUNTIFS(M$3:M$37,"*gộp*")/2)-COUNTIFS(M$3:M$37,"*đơn trả*")-COUNTIFS(M$3:M$37,"*hàng tỉnh*")</f>
        <v>32</v>
      </c>
    </row>
    <row r="53" spans="2:13" x14ac:dyDescent="0.25">
      <c r="K53" s="12" t="s">
        <v>157</v>
      </c>
      <c r="L53" s="25">
        <v>-890</v>
      </c>
      <c r="M53" s="25" t="s">
        <v>274</v>
      </c>
    </row>
    <row r="54" spans="2:13" x14ac:dyDescent="0.25">
      <c r="K54" s="2" t="s">
        <v>160</v>
      </c>
    </row>
    <row r="55" spans="2:13" x14ac:dyDescent="0.25">
      <c r="L55" s="14">
        <f>SUBTOTAL(9,L50:L54)</f>
        <v>9061</v>
      </c>
      <c r="M55" s="14">
        <f>M50</f>
        <v>14</v>
      </c>
    </row>
    <row r="57" spans="2:13" x14ac:dyDescent="0.25">
      <c r="K57" s="11" t="s">
        <v>103</v>
      </c>
      <c r="L57" s="11" t="s">
        <v>146</v>
      </c>
      <c r="M57" s="11" t="s">
        <v>145</v>
      </c>
    </row>
    <row r="58" spans="2:13" x14ac:dyDescent="0.25">
      <c r="K58" t="s">
        <v>150</v>
      </c>
      <c r="L58">
        <f>SUMIFS(G$3:G$37,J$3:J$37,K$57)</f>
        <v>5520</v>
      </c>
      <c r="M58">
        <f>SUMIFS(Q$3:Q$37,J$3:J$37,K$57)-INT(COUNTIFS(J$3:J$37,K$57,M$3:M$37,"*gộp*")/2)</f>
        <v>9</v>
      </c>
    </row>
    <row r="59" spans="2:13" x14ac:dyDescent="0.25">
      <c r="K59" t="s">
        <v>153</v>
      </c>
      <c r="L59">
        <f>-SUMIFS(H$3:H$37,J$3:J$37,K$57)+M59*5</f>
        <v>-205</v>
      </c>
      <c r="M59">
        <f>SUMIFS(Q$3:Q$37,J$3:J$37,K$57)-INT(COUNTIFS(J$3:J$37,K$57,M$3:M$37,"*gộp*")/2)</f>
        <v>9</v>
      </c>
    </row>
    <row r="60" spans="2:13" x14ac:dyDescent="0.25">
      <c r="K60" t="s">
        <v>155</v>
      </c>
    </row>
    <row r="61" spans="2:13" x14ac:dyDescent="0.25">
      <c r="K61" s="12" t="s">
        <v>157</v>
      </c>
    </row>
    <row r="62" spans="2:13" x14ac:dyDescent="0.25">
      <c r="K62" s="2" t="s">
        <v>160</v>
      </c>
    </row>
    <row r="63" spans="2:13" x14ac:dyDescent="0.25">
      <c r="L63" s="14">
        <f>SUBTOTAL(9,L58:L62)</f>
        <v>5315</v>
      </c>
      <c r="M63" s="14">
        <f>M58</f>
        <v>9</v>
      </c>
    </row>
  </sheetData>
  <autoFilter ref="A2:P37" xr:uid="{00000000-0009-0000-0000-000011000000}">
    <sortState xmlns:xlrd2="http://schemas.microsoft.com/office/spreadsheetml/2017/richdata2" ref="A3:P37">
      <sortCondition ref="J2:J37"/>
    </sortState>
  </autoFilter>
  <mergeCells count="8">
    <mergeCell ref="C46:D46"/>
    <mergeCell ref="C47:D47"/>
    <mergeCell ref="C49:D49"/>
    <mergeCell ref="C41:D41"/>
    <mergeCell ref="C42:D42"/>
    <mergeCell ref="C43:D43"/>
    <mergeCell ref="C44:D44"/>
    <mergeCell ref="C45:D45"/>
  </mergeCells>
  <pageMargins left="0.75" right="0.75" top="0.75" bottom="0.5" header="0.5" footer="0.75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R53"/>
  <sheetViews>
    <sheetView topLeftCell="A12" workbookViewId="0">
      <selection activeCell="C37" sqref="C37 C37:D37"/>
    </sheetView>
  </sheetViews>
  <sheetFormatPr defaultRowHeight="15" x14ac:dyDescent="0.25"/>
  <cols>
    <col min="1" max="1" width="12.7109375" customWidth="1"/>
    <col min="2" max="2" width="17.7109375" customWidth="1"/>
    <col min="3" max="3" width="29.7109375" customWidth="1"/>
    <col min="4" max="4" width="9.85546875" customWidth="1"/>
    <col min="5" max="5" width="68.42578125" customWidth="1"/>
    <col min="6" max="6" width="10.71093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0.42578125" customWidth="1"/>
    <col min="13" max="13" width="8.5703125" customWidth="1"/>
    <col min="14" max="14" width="9.7109375" customWidth="1"/>
    <col min="15" max="15" width="10.42578125" customWidth="1"/>
    <col min="16" max="16" width="7" bestFit="1" customWidth="1"/>
  </cols>
  <sheetData>
    <row r="2" spans="1:18" x14ac:dyDescent="0.25">
      <c r="A2" s="15" t="s">
        <v>10</v>
      </c>
      <c r="B2" s="15" t="s">
        <v>11</v>
      </c>
      <c r="C2" s="15" t="s">
        <v>12</v>
      </c>
      <c r="D2" s="15" t="s">
        <v>13</v>
      </c>
      <c r="E2" s="15" t="s">
        <v>14</v>
      </c>
      <c r="F2" s="15" t="s">
        <v>15</v>
      </c>
      <c r="G2" s="15" t="s">
        <v>16</v>
      </c>
      <c r="H2" s="15" t="s">
        <v>17</v>
      </c>
      <c r="I2" s="15" t="s">
        <v>18</v>
      </c>
      <c r="J2" s="15" t="s">
        <v>19</v>
      </c>
      <c r="K2" s="15" t="s">
        <v>20</v>
      </c>
      <c r="L2" s="15" t="s">
        <v>21</v>
      </c>
      <c r="M2" s="15" t="s">
        <v>22</v>
      </c>
      <c r="N2" s="15" t="s">
        <v>23</v>
      </c>
      <c r="O2" s="15" t="s">
        <v>24</v>
      </c>
      <c r="P2" s="15" t="s">
        <v>25</v>
      </c>
      <c r="Q2" s="16"/>
    </row>
    <row r="3" spans="1:18" x14ac:dyDescent="0.25">
      <c r="A3" s="16"/>
      <c r="B3" s="16" t="s">
        <v>26</v>
      </c>
      <c r="C3" s="16" t="s">
        <v>1645</v>
      </c>
      <c r="D3" s="16" t="s">
        <v>1646</v>
      </c>
      <c r="E3" s="16" t="s">
        <v>1647</v>
      </c>
      <c r="F3" s="16" t="s">
        <v>51</v>
      </c>
      <c r="G3" s="17">
        <v>1180</v>
      </c>
      <c r="H3" s="17">
        <v>30</v>
      </c>
      <c r="I3" s="17">
        <f t="shared" ref="I3:I27" si="0">G3-H3</f>
        <v>1150</v>
      </c>
      <c r="J3" s="16" t="s">
        <v>1648</v>
      </c>
      <c r="K3" s="16" t="s">
        <v>32</v>
      </c>
      <c r="L3" s="16" t="s">
        <v>1649</v>
      </c>
      <c r="M3" s="16"/>
      <c r="N3" s="16"/>
      <c r="O3" s="16"/>
      <c r="P3" s="16"/>
      <c r="Q3" s="16">
        <v>1</v>
      </c>
    </row>
    <row r="4" spans="1:18" x14ac:dyDescent="0.25">
      <c r="A4" s="16"/>
      <c r="B4" s="16" t="s">
        <v>26</v>
      </c>
      <c r="C4" s="16" t="s">
        <v>1025</v>
      </c>
      <c r="D4" s="16" t="s">
        <v>1650</v>
      </c>
      <c r="E4" s="16" t="s">
        <v>1651</v>
      </c>
      <c r="F4" s="16" t="s">
        <v>51</v>
      </c>
      <c r="G4" s="17">
        <v>0</v>
      </c>
      <c r="H4" s="17">
        <v>30</v>
      </c>
      <c r="I4" s="17">
        <f t="shared" si="0"/>
        <v>-30</v>
      </c>
      <c r="J4" s="16" t="s">
        <v>1648</v>
      </c>
      <c r="K4" s="16" t="s">
        <v>32</v>
      </c>
      <c r="L4" s="16" t="s">
        <v>1649</v>
      </c>
      <c r="M4" s="16"/>
      <c r="N4" s="16"/>
      <c r="O4" s="16"/>
      <c r="P4" s="16"/>
      <c r="Q4" s="16">
        <v>1</v>
      </c>
      <c r="R4" s="10">
        <f>H4</f>
        <v>30</v>
      </c>
    </row>
    <row r="5" spans="1:18" x14ac:dyDescent="0.25">
      <c r="A5" s="16"/>
      <c r="B5" s="16" t="s">
        <v>26</v>
      </c>
      <c r="C5" s="16" t="s">
        <v>1652</v>
      </c>
      <c r="D5" s="16" t="s">
        <v>1653</v>
      </c>
      <c r="E5" s="16" t="s">
        <v>1364</v>
      </c>
      <c r="F5" s="16" t="s">
        <v>51</v>
      </c>
      <c r="G5" s="17">
        <v>940</v>
      </c>
      <c r="H5" s="17">
        <v>30</v>
      </c>
      <c r="I5" s="17">
        <f t="shared" si="0"/>
        <v>910</v>
      </c>
      <c r="J5" s="16" t="s">
        <v>1648</v>
      </c>
      <c r="K5" s="16" t="s">
        <v>32</v>
      </c>
      <c r="L5" s="16" t="s">
        <v>1649</v>
      </c>
      <c r="M5" s="16"/>
      <c r="N5" s="16"/>
      <c r="O5" s="16"/>
      <c r="P5" s="16"/>
      <c r="Q5" s="16">
        <v>1</v>
      </c>
    </row>
    <row r="6" spans="1:18" x14ac:dyDescent="0.25">
      <c r="A6" s="16"/>
      <c r="B6" s="16" t="s">
        <v>26</v>
      </c>
      <c r="C6" s="16" t="s">
        <v>1654</v>
      </c>
      <c r="D6" s="16" t="s">
        <v>1655</v>
      </c>
      <c r="E6" s="16" t="s">
        <v>1656</v>
      </c>
      <c r="F6" s="17">
        <v>6</v>
      </c>
      <c r="G6" s="17">
        <v>715</v>
      </c>
      <c r="H6" s="17">
        <v>25</v>
      </c>
      <c r="I6" s="17">
        <f t="shared" si="0"/>
        <v>690</v>
      </c>
      <c r="J6" s="16" t="s">
        <v>1648</v>
      </c>
      <c r="K6" s="16" t="s">
        <v>32</v>
      </c>
      <c r="L6" s="16" t="s">
        <v>1649</v>
      </c>
      <c r="M6" s="16"/>
      <c r="N6" s="16"/>
      <c r="O6" s="16"/>
      <c r="P6" s="16"/>
      <c r="Q6" s="16">
        <v>1</v>
      </c>
    </row>
    <row r="7" spans="1:18" x14ac:dyDescent="0.25">
      <c r="A7" s="16"/>
      <c r="B7" s="16" t="s">
        <v>26</v>
      </c>
      <c r="C7" s="16" t="s">
        <v>1657</v>
      </c>
      <c r="D7" s="16" t="s">
        <v>1658</v>
      </c>
      <c r="E7" s="16" t="s">
        <v>1659</v>
      </c>
      <c r="F7" s="17">
        <v>8</v>
      </c>
      <c r="G7" s="17">
        <v>0</v>
      </c>
      <c r="H7" s="17">
        <v>30</v>
      </c>
      <c r="I7" s="17">
        <f t="shared" si="0"/>
        <v>-30</v>
      </c>
      <c r="J7" s="16" t="s">
        <v>1648</v>
      </c>
      <c r="K7" s="16" t="s">
        <v>32</v>
      </c>
      <c r="L7" s="16" t="s">
        <v>1649</v>
      </c>
      <c r="M7" s="16"/>
      <c r="N7" s="16"/>
      <c r="O7" s="16"/>
      <c r="P7" s="16"/>
      <c r="Q7" s="16">
        <v>1</v>
      </c>
      <c r="R7" s="10">
        <f>H7</f>
        <v>30</v>
      </c>
    </row>
    <row r="8" spans="1:18" x14ac:dyDescent="0.25">
      <c r="A8" s="16"/>
      <c r="B8" s="16" t="s">
        <v>26</v>
      </c>
      <c r="C8" s="16" t="s">
        <v>840</v>
      </c>
      <c r="D8" s="16" t="s">
        <v>1660</v>
      </c>
      <c r="E8" s="16" t="s">
        <v>1661</v>
      </c>
      <c r="F8" s="16" t="s">
        <v>51</v>
      </c>
      <c r="G8" s="17">
        <v>670</v>
      </c>
      <c r="H8" s="17">
        <v>30</v>
      </c>
      <c r="I8" s="17">
        <f t="shared" si="0"/>
        <v>640</v>
      </c>
      <c r="J8" s="16" t="s">
        <v>1648</v>
      </c>
      <c r="K8" s="16" t="s">
        <v>32</v>
      </c>
      <c r="L8" s="16" t="s">
        <v>1649</v>
      </c>
      <c r="M8" s="18" t="s">
        <v>288</v>
      </c>
      <c r="N8" s="16"/>
      <c r="O8" s="16"/>
      <c r="P8" s="16"/>
      <c r="Q8" s="16">
        <v>1</v>
      </c>
    </row>
    <row r="9" spans="1:18" x14ac:dyDescent="0.25">
      <c r="A9" s="16"/>
      <c r="B9" s="16" t="s">
        <v>26</v>
      </c>
      <c r="C9" s="16" t="s">
        <v>840</v>
      </c>
      <c r="D9" s="16" t="s">
        <v>1662</v>
      </c>
      <c r="E9" s="16" t="s">
        <v>1663</v>
      </c>
      <c r="F9" s="16" t="s">
        <v>51</v>
      </c>
      <c r="G9" s="17">
        <v>640</v>
      </c>
      <c r="H9" s="17">
        <v>0</v>
      </c>
      <c r="I9" s="17">
        <f t="shared" si="0"/>
        <v>640</v>
      </c>
      <c r="J9" s="16" t="s">
        <v>1648</v>
      </c>
      <c r="K9" s="16" t="s">
        <v>32</v>
      </c>
      <c r="L9" s="16" t="s">
        <v>1649</v>
      </c>
      <c r="M9" s="18" t="s">
        <v>288</v>
      </c>
      <c r="N9" s="16"/>
      <c r="O9" s="16"/>
      <c r="P9" s="16"/>
      <c r="Q9" s="16">
        <v>1</v>
      </c>
    </row>
    <row r="10" spans="1:18" x14ac:dyDescent="0.25">
      <c r="A10" s="16"/>
      <c r="B10" s="16" t="s">
        <v>26</v>
      </c>
      <c r="C10" s="16" t="s">
        <v>837</v>
      </c>
      <c r="D10" s="16" t="s">
        <v>1664</v>
      </c>
      <c r="E10" s="16" t="s">
        <v>839</v>
      </c>
      <c r="F10" s="17">
        <v>12</v>
      </c>
      <c r="G10" s="17">
        <v>580</v>
      </c>
      <c r="H10" s="17">
        <v>30</v>
      </c>
      <c r="I10" s="17">
        <f t="shared" si="0"/>
        <v>550</v>
      </c>
      <c r="J10" s="16" t="s">
        <v>1648</v>
      </c>
      <c r="K10" s="16" t="s">
        <v>32</v>
      </c>
      <c r="L10" s="16" t="s">
        <v>1649</v>
      </c>
      <c r="M10" s="16"/>
      <c r="N10" s="16"/>
      <c r="O10" s="16"/>
      <c r="P10" s="16"/>
      <c r="Q10" s="16">
        <v>1</v>
      </c>
    </row>
    <row r="11" spans="1:18" x14ac:dyDescent="0.25">
      <c r="A11" s="16"/>
      <c r="B11" s="16" t="s">
        <v>26</v>
      </c>
      <c r="C11" s="16" t="s">
        <v>1665</v>
      </c>
      <c r="D11" s="16" t="s">
        <v>1666</v>
      </c>
      <c r="E11" s="16" t="s">
        <v>1667</v>
      </c>
      <c r="F11" s="16" t="s">
        <v>82</v>
      </c>
      <c r="G11" s="17">
        <v>915</v>
      </c>
      <c r="H11" s="17">
        <v>25</v>
      </c>
      <c r="I11" s="17">
        <f t="shared" si="0"/>
        <v>890</v>
      </c>
      <c r="J11" s="16" t="s">
        <v>32</v>
      </c>
      <c r="K11" s="16" t="s">
        <v>32</v>
      </c>
      <c r="L11" s="16" t="s">
        <v>1649</v>
      </c>
      <c r="M11" s="16"/>
      <c r="N11" s="16"/>
      <c r="O11" s="16"/>
      <c r="P11" s="16"/>
      <c r="Q11" s="16">
        <v>1</v>
      </c>
    </row>
    <row r="12" spans="1:18" x14ac:dyDescent="0.25">
      <c r="A12" s="16"/>
      <c r="B12" s="16" t="s">
        <v>26</v>
      </c>
      <c r="C12" s="16" t="s">
        <v>1668</v>
      </c>
      <c r="D12" s="16" t="s">
        <v>1669</v>
      </c>
      <c r="E12" s="16" t="s">
        <v>1670</v>
      </c>
      <c r="F12" s="16" t="s">
        <v>75</v>
      </c>
      <c r="G12" s="17">
        <v>910</v>
      </c>
      <c r="H12" s="17">
        <v>20</v>
      </c>
      <c r="I12" s="17">
        <f t="shared" si="0"/>
        <v>890</v>
      </c>
      <c r="J12" s="16" t="s">
        <v>32</v>
      </c>
      <c r="K12" s="16" t="s">
        <v>32</v>
      </c>
      <c r="L12" s="16" t="s">
        <v>1649</v>
      </c>
      <c r="M12" s="16"/>
      <c r="N12" s="16"/>
      <c r="O12" s="16"/>
      <c r="P12" s="16"/>
      <c r="Q12" s="16">
        <v>1</v>
      </c>
    </row>
    <row r="13" spans="1:18" x14ac:dyDescent="0.25">
      <c r="A13" s="16"/>
      <c r="B13" s="16" t="s">
        <v>26</v>
      </c>
      <c r="C13" s="16" t="s">
        <v>538</v>
      </c>
      <c r="D13" s="16" t="s">
        <v>1671</v>
      </c>
      <c r="E13" s="16" t="s">
        <v>540</v>
      </c>
      <c r="F13" s="16" t="s">
        <v>82</v>
      </c>
      <c r="G13" s="17">
        <v>1055</v>
      </c>
      <c r="H13" s="17">
        <v>25</v>
      </c>
      <c r="I13" s="17">
        <f t="shared" si="0"/>
        <v>1030</v>
      </c>
      <c r="J13" s="16" t="s">
        <v>32</v>
      </c>
      <c r="K13" s="16" t="s">
        <v>32</v>
      </c>
      <c r="L13" s="16" t="s">
        <v>1649</v>
      </c>
      <c r="M13" s="16"/>
      <c r="N13" s="16"/>
      <c r="O13" s="16"/>
      <c r="P13" s="16"/>
      <c r="Q13" s="16">
        <v>1</v>
      </c>
    </row>
    <row r="14" spans="1:18" x14ac:dyDescent="0.25">
      <c r="A14" s="16"/>
      <c r="B14" s="16" t="s">
        <v>26</v>
      </c>
      <c r="C14" s="16" t="s">
        <v>756</v>
      </c>
      <c r="D14" s="16" t="s">
        <v>1672</v>
      </c>
      <c r="E14" s="16" t="s">
        <v>758</v>
      </c>
      <c r="F14" s="16" t="s">
        <v>75</v>
      </c>
      <c r="G14" s="17">
        <v>0</v>
      </c>
      <c r="H14" s="17">
        <v>20</v>
      </c>
      <c r="I14" s="17">
        <f t="shared" si="0"/>
        <v>-20</v>
      </c>
      <c r="J14" s="16" t="s">
        <v>32</v>
      </c>
      <c r="K14" s="16" t="s">
        <v>32</v>
      </c>
      <c r="L14" s="16" t="s">
        <v>1649</v>
      </c>
      <c r="M14" s="16"/>
      <c r="N14" s="16"/>
      <c r="O14" s="16"/>
      <c r="P14" s="16"/>
      <c r="Q14" s="16">
        <v>1</v>
      </c>
      <c r="R14" s="10">
        <f>H14</f>
        <v>20</v>
      </c>
    </row>
    <row r="15" spans="1:18" x14ac:dyDescent="0.25">
      <c r="A15" s="16"/>
      <c r="B15" s="16" t="s">
        <v>26</v>
      </c>
      <c r="C15" s="16" t="s">
        <v>1673</v>
      </c>
      <c r="D15" s="16" t="s">
        <v>1674</v>
      </c>
      <c r="E15" s="16" t="s">
        <v>1675</v>
      </c>
      <c r="F15" s="17">
        <v>9</v>
      </c>
      <c r="G15" s="17">
        <v>0</v>
      </c>
      <c r="H15" s="17">
        <v>30</v>
      </c>
      <c r="I15" s="17">
        <f t="shared" si="0"/>
        <v>-30</v>
      </c>
      <c r="J15" s="16" t="s">
        <v>32</v>
      </c>
      <c r="K15" s="16" t="s">
        <v>32</v>
      </c>
      <c r="L15" s="16" t="s">
        <v>1649</v>
      </c>
      <c r="M15" s="16"/>
      <c r="N15" s="16"/>
      <c r="O15" s="16"/>
      <c r="P15" s="16"/>
      <c r="Q15" s="16">
        <v>1</v>
      </c>
      <c r="R15" s="10">
        <f>H15</f>
        <v>30</v>
      </c>
    </row>
    <row r="16" spans="1:18" x14ac:dyDescent="0.25">
      <c r="A16" s="16" t="s">
        <v>141</v>
      </c>
      <c r="B16" s="16" t="s">
        <v>26</v>
      </c>
      <c r="C16" s="16" t="s">
        <v>1676</v>
      </c>
      <c r="D16" s="16"/>
      <c r="E16" s="16" t="s">
        <v>422</v>
      </c>
      <c r="F16" s="16" t="s">
        <v>82</v>
      </c>
      <c r="G16" s="17">
        <v>30</v>
      </c>
      <c r="H16" s="17">
        <v>30</v>
      </c>
      <c r="I16" s="17">
        <f t="shared" si="0"/>
        <v>0</v>
      </c>
      <c r="J16" s="16" t="s">
        <v>32</v>
      </c>
      <c r="K16" s="16" t="s">
        <v>32</v>
      </c>
      <c r="L16" s="16" t="s">
        <v>1649</v>
      </c>
      <c r="M16" s="16"/>
      <c r="N16" s="16"/>
      <c r="O16" s="16"/>
      <c r="P16" s="16"/>
      <c r="Q16" s="16">
        <v>1</v>
      </c>
    </row>
    <row r="17" spans="1:18" x14ac:dyDescent="0.25">
      <c r="A17" s="16" t="s">
        <v>141</v>
      </c>
      <c r="B17" s="16" t="s">
        <v>26</v>
      </c>
      <c r="C17" s="16" t="s">
        <v>551</v>
      </c>
      <c r="D17" s="16"/>
      <c r="E17" s="16" t="s">
        <v>994</v>
      </c>
      <c r="F17" s="16" t="s">
        <v>82</v>
      </c>
      <c r="G17" s="17">
        <v>0</v>
      </c>
      <c r="H17" s="17">
        <v>30</v>
      </c>
      <c r="I17" s="17">
        <f t="shared" si="0"/>
        <v>-30</v>
      </c>
      <c r="J17" s="16" t="s">
        <v>32</v>
      </c>
      <c r="K17" s="16" t="s">
        <v>32</v>
      </c>
      <c r="L17" s="16" t="s">
        <v>1649</v>
      </c>
      <c r="M17" s="16"/>
      <c r="N17" s="16"/>
      <c r="O17" s="16"/>
      <c r="P17" s="16"/>
      <c r="Q17" s="16">
        <v>1</v>
      </c>
      <c r="R17" s="10">
        <f>H17</f>
        <v>30</v>
      </c>
    </row>
    <row r="18" spans="1:18" x14ac:dyDescent="0.25">
      <c r="A18" s="16" t="s">
        <v>141</v>
      </c>
      <c r="B18" s="16" t="s">
        <v>26</v>
      </c>
      <c r="C18" s="16" t="s">
        <v>1677</v>
      </c>
      <c r="D18" s="16"/>
      <c r="E18" s="16" t="s">
        <v>1678</v>
      </c>
      <c r="F18" s="16" t="s">
        <v>82</v>
      </c>
      <c r="G18" s="17">
        <v>30</v>
      </c>
      <c r="H18" s="17">
        <v>30</v>
      </c>
      <c r="I18" s="17">
        <f t="shared" si="0"/>
        <v>0</v>
      </c>
      <c r="J18" s="16" t="s">
        <v>32</v>
      </c>
      <c r="K18" s="16" t="s">
        <v>32</v>
      </c>
      <c r="L18" s="16" t="s">
        <v>1649</v>
      </c>
      <c r="M18" s="16"/>
      <c r="N18" s="16"/>
      <c r="O18" s="16"/>
      <c r="P18" s="16"/>
      <c r="Q18" s="16">
        <v>1</v>
      </c>
    </row>
    <row r="19" spans="1:18" x14ac:dyDescent="0.25">
      <c r="A19" s="16"/>
      <c r="B19" s="16" t="s">
        <v>26</v>
      </c>
      <c r="C19" s="16" t="s">
        <v>690</v>
      </c>
      <c r="D19" s="16" t="s">
        <v>1679</v>
      </c>
      <c r="E19" s="16" t="s">
        <v>692</v>
      </c>
      <c r="F19" s="17">
        <v>10</v>
      </c>
      <c r="G19" s="17">
        <v>665</v>
      </c>
      <c r="H19" s="17">
        <v>25</v>
      </c>
      <c r="I19" s="17">
        <f t="shared" si="0"/>
        <v>640</v>
      </c>
      <c r="J19" s="16" t="s">
        <v>103</v>
      </c>
      <c r="K19" s="16" t="s">
        <v>32</v>
      </c>
      <c r="L19" s="16" t="s">
        <v>1649</v>
      </c>
      <c r="M19" s="16"/>
      <c r="N19" s="16"/>
      <c r="O19" s="16"/>
      <c r="P19" s="16"/>
      <c r="Q19" s="16">
        <v>1</v>
      </c>
    </row>
    <row r="20" spans="1:18" x14ac:dyDescent="0.25">
      <c r="A20" s="16"/>
      <c r="B20" s="16" t="s">
        <v>26</v>
      </c>
      <c r="C20" s="16" t="s">
        <v>1680</v>
      </c>
      <c r="D20" s="16" t="s">
        <v>1681</v>
      </c>
      <c r="E20" s="16" t="s">
        <v>1682</v>
      </c>
      <c r="F20" s="16" t="s">
        <v>110</v>
      </c>
      <c r="G20" s="17">
        <v>760</v>
      </c>
      <c r="H20" s="17">
        <v>20</v>
      </c>
      <c r="I20" s="17">
        <f t="shared" si="0"/>
        <v>740</v>
      </c>
      <c r="J20" s="16" t="s">
        <v>103</v>
      </c>
      <c r="K20" s="16" t="s">
        <v>32</v>
      </c>
      <c r="L20" s="16" t="s">
        <v>1649</v>
      </c>
      <c r="M20" s="16"/>
      <c r="N20" s="16"/>
      <c r="O20" s="16"/>
      <c r="P20" s="16"/>
      <c r="Q20" s="16">
        <v>1</v>
      </c>
    </row>
    <row r="21" spans="1:18" x14ac:dyDescent="0.25">
      <c r="A21" s="16"/>
      <c r="B21" s="16" t="s">
        <v>26</v>
      </c>
      <c r="C21" s="16" t="s">
        <v>1683</v>
      </c>
      <c r="D21" s="16" t="s">
        <v>1684</v>
      </c>
      <c r="E21" s="16" t="s">
        <v>1685</v>
      </c>
      <c r="F21" s="17">
        <v>7</v>
      </c>
      <c r="G21" s="17">
        <v>900</v>
      </c>
      <c r="H21" s="17">
        <v>30</v>
      </c>
      <c r="I21" s="17">
        <f t="shared" si="0"/>
        <v>870</v>
      </c>
      <c r="J21" s="16" t="s">
        <v>103</v>
      </c>
      <c r="K21" s="16" t="s">
        <v>32</v>
      </c>
      <c r="L21" s="16" t="s">
        <v>1649</v>
      </c>
      <c r="M21" s="16"/>
      <c r="N21" s="16"/>
      <c r="O21" s="16"/>
      <c r="P21" s="16"/>
      <c r="Q21" s="16">
        <v>1</v>
      </c>
    </row>
    <row r="22" spans="1:18" x14ac:dyDescent="0.25">
      <c r="A22" s="16"/>
      <c r="B22" s="16" t="s">
        <v>26</v>
      </c>
      <c r="C22" s="16" t="s">
        <v>1443</v>
      </c>
      <c r="D22" s="16" t="s">
        <v>1686</v>
      </c>
      <c r="E22" s="16" t="s">
        <v>1687</v>
      </c>
      <c r="F22" s="16" t="s">
        <v>93</v>
      </c>
      <c r="G22" s="17">
        <v>905</v>
      </c>
      <c r="H22" s="17">
        <v>25</v>
      </c>
      <c r="I22" s="17">
        <f t="shared" si="0"/>
        <v>880</v>
      </c>
      <c r="J22" s="16" t="s">
        <v>103</v>
      </c>
      <c r="K22" s="16" t="s">
        <v>32</v>
      </c>
      <c r="L22" s="16" t="s">
        <v>1649</v>
      </c>
      <c r="M22" s="16"/>
      <c r="N22" s="16"/>
      <c r="O22" s="16"/>
      <c r="P22" s="16"/>
      <c r="Q22" s="16">
        <v>1</v>
      </c>
    </row>
    <row r="23" spans="1:18" x14ac:dyDescent="0.25">
      <c r="A23" s="16"/>
      <c r="B23" s="16" t="s">
        <v>26</v>
      </c>
      <c r="C23" s="16" t="s">
        <v>1688</v>
      </c>
      <c r="D23" s="16" t="s">
        <v>1689</v>
      </c>
      <c r="E23" s="16" t="s">
        <v>1690</v>
      </c>
      <c r="F23" s="17">
        <v>7</v>
      </c>
      <c r="G23" s="17">
        <v>720</v>
      </c>
      <c r="H23" s="17">
        <v>30</v>
      </c>
      <c r="I23" s="17">
        <f t="shared" si="0"/>
        <v>690</v>
      </c>
      <c r="J23" s="16" t="s">
        <v>103</v>
      </c>
      <c r="K23" s="16" t="s">
        <v>32</v>
      </c>
      <c r="L23" s="16" t="s">
        <v>1649</v>
      </c>
      <c r="M23" s="16"/>
      <c r="N23" s="16"/>
      <c r="O23" s="16"/>
      <c r="P23" s="16"/>
      <c r="Q23" s="16">
        <v>1</v>
      </c>
    </row>
    <row r="24" spans="1:18" x14ac:dyDescent="0.25">
      <c r="A24" s="16"/>
      <c r="B24" s="16" t="s">
        <v>26</v>
      </c>
      <c r="C24" s="16" t="s">
        <v>135</v>
      </c>
      <c r="D24" s="16" t="s">
        <v>1691</v>
      </c>
      <c r="E24" s="16" t="s">
        <v>137</v>
      </c>
      <c r="F24" s="17">
        <v>4</v>
      </c>
      <c r="G24" s="17">
        <v>1535</v>
      </c>
      <c r="H24" s="17">
        <v>25</v>
      </c>
      <c r="I24" s="17">
        <f t="shared" si="0"/>
        <v>1510</v>
      </c>
      <c r="J24" s="16" t="s">
        <v>103</v>
      </c>
      <c r="K24" s="16" t="s">
        <v>32</v>
      </c>
      <c r="L24" s="16" t="s">
        <v>1649</v>
      </c>
      <c r="M24" s="16"/>
      <c r="N24" s="16"/>
      <c r="O24" s="16"/>
      <c r="P24" s="16"/>
      <c r="Q24" s="16">
        <v>1</v>
      </c>
    </row>
    <row r="25" spans="1:18" x14ac:dyDescent="0.25">
      <c r="A25" s="16"/>
      <c r="B25" s="16" t="s">
        <v>26</v>
      </c>
      <c r="C25" s="16" t="s">
        <v>1692</v>
      </c>
      <c r="D25" s="16" t="s">
        <v>1693</v>
      </c>
      <c r="E25" s="16" t="s">
        <v>1694</v>
      </c>
      <c r="F25" s="17">
        <v>7</v>
      </c>
      <c r="G25" s="17">
        <v>890</v>
      </c>
      <c r="H25" s="17">
        <v>30</v>
      </c>
      <c r="I25" s="17">
        <f t="shared" si="0"/>
        <v>860</v>
      </c>
      <c r="J25" s="16" t="s">
        <v>103</v>
      </c>
      <c r="K25" s="16" t="s">
        <v>32</v>
      </c>
      <c r="L25" s="16" t="s">
        <v>1649</v>
      </c>
      <c r="M25" s="16"/>
      <c r="N25" s="16"/>
      <c r="O25" s="16"/>
      <c r="P25" s="16"/>
      <c r="Q25" s="16">
        <v>1</v>
      </c>
    </row>
    <row r="26" spans="1:18" x14ac:dyDescent="0.25">
      <c r="A26" s="16"/>
      <c r="B26" s="16" t="s">
        <v>26</v>
      </c>
      <c r="C26" s="16" t="s">
        <v>1695</v>
      </c>
      <c r="D26" s="16" t="s">
        <v>1696</v>
      </c>
      <c r="E26" s="16" t="s">
        <v>947</v>
      </c>
      <c r="F26" s="17">
        <v>1</v>
      </c>
      <c r="G26" s="17">
        <v>0</v>
      </c>
      <c r="H26" s="17">
        <v>25</v>
      </c>
      <c r="I26" s="17">
        <f t="shared" si="0"/>
        <v>-25</v>
      </c>
      <c r="J26" s="16" t="s">
        <v>103</v>
      </c>
      <c r="K26" s="16" t="s">
        <v>32</v>
      </c>
      <c r="L26" s="16" t="s">
        <v>1649</v>
      </c>
      <c r="M26" s="16"/>
      <c r="N26" s="16"/>
      <c r="O26" s="16"/>
      <c r="P26" s="16"/>
      <c r="Q26" s="16">
        <v>1</v>
      </c>
      <c r="R26" s="10">
        <f>H26</f>
        <v>25</v>
      </c>
    </row>
    <row r="27" spans="1:18" x14ac:dyDescent="0.25">
      <c r="A27" s="16" t="s">
        <v>141</v>
      </c>
      <c r="B27" s="16" t="s">
        <v>26</v>
      </c>
      <c r="C27" s="16" t="s">
        <v>1054</v>
      </c>
      <c r="D27" s="16"/>
      <c r="E27" s="16" t="s">
        <v>1697</v>
      </c>
      <c r="F27" s="17">
        <v>5</v>
      </c>
      <c r="G27" s="17">
        <v>1850</v>
      </c>
      <c r="H27" s="17">
        <v>30</v>
      </c>
      <c r="I27" s="17">
        <f t="shared" si="0"/>
        <v>1820</v>
      </c>
      <c r="J27" s="16" t="s">
        <v>103</v>
      </c>
      <c r="K27" s="16" t="s">
        <v>32</v>
      </c>
      <c r="L27" s="16" t="s">
        <v>1649</v>
      </c>
      <c r="M27" s="16"/>
      <c r="N27" s="16"/>
      <c r="O27" s="16"/>
      <c r="P27" s="16"/>
      <c r="Q27" s="16">
        <v>1</v>
      </c>
    </row>
    <row r="29" spans="1:18" x14ac:dyDescent="0.25">
      <c r="D29" s="1">
        <f>COUNTA(D3:D27)</f>
        <v>21</v>
      </c>
      <c r="G29" s="1">
        <f t="shared" ref="G29:Q29" si="1">SUBTOTAL(9,G3:G27)</f>
        <v>15890</v>
      </c>
      <c r="H29" s="1">
        <f t="shared" si="1"/>
        <v>655</v>
      </c>
      <c r="I29" s="1">
        <f t="shared" si="1"/>
        <v>15235</v>
      </c>
      <c r="J29" s="1">
        <f t="shared" si="1"/>
        <v>0</v>
      </c>
      <c r="K29" s="1">
        <f t="shared" si="1"/>
        <v>0</v>
      </c>
      <c r="L29" s="1">
        <f t="shared" si="1"/>
        <v>0</v>
      </c>
      <c r="M29" s="1">
        <f t="shared" si="1"/>
        <v>0</v>
      </c>
      <c r="N29" s="1">
        <f t="shared" si="1"/>
        <v>0</v>
      </c>
      <c r="O29" s="1">
        <f t="shared" si="1"/>
        <v>0</v>
      </c>
      <c r="P29" s="1">
        <f t="shared" si="1"/>
        <v>0</v>
      </c>
      <c r="Q29" s="1">
        <f t="shared" si="1"/>
        <v>25</v>
      </c>
    </row>
    <row r="30" spans="1:18" x14ac:dyDescent="0.25">
      <c r="H30">
        <f>-2*17</f>
        <v>-34</v>
      </c>
    </row>
    <row r="31" spans="1:18" x14ac:dyDescent="0.25">
      <c r="A31" s="1" t="s">
        <v>26</v>
      </c>
      <c r="C31" s="34" t="s">
        <v>144</v>
      </c>
      <c r="D31" s="34"/>
      <c r="E31" s="4" t="s">
        <v>145</v>
      </c>
      <c r="H31">
        <f>-5*25</f>
        <v>-125</v>
      </c>
      <c r="K31" s="11" t="s">
        <v>32</v>
      </c>
      <c r="L31" s="11" t="s">
        <v>146</v>
      </c>
      <c r="M31" s="11" t="s">
        <v>145</v>
      </c>
      <c r="O31" s="4" t="s">
        <v>147</v>
      </c>
    </row>
    <row r="32" spans="1:18" x14ac:dyDescent="0.25">
      <c r="A32" t="s">
        <v>1649</v>
      </c>
      <c r="B32" s="3" t="s">
        <v>148</v>
      </c>
      <c r="C32" s="35">
        <f>SUMIFS(I$3:I$27,B$3:B$27,A$31,L$3:L$27,A$32)</f>
        <v>15235</v>
      </c>
      <c r="D32" s="35"/>
      <c r="E32" s="3">
        <f>SUMIFS(Q$3:Q$27,B$3:B$27,A$31,L$3:L$27,A$32)</f>
        <v>25</v>
      </c>
      <c r="F32" t="s">
        <v>149</v>
      </c>
      <c r="K32" t="s">
        <v>150</v>
      </c>
      <c r="L32">
        <f>SUMIFS(G$3:G$27,J$3:J$27,K$31)</f>
        <v>2940</v>
      </c>
      <c r="M32">
        <f>SUMIFS(Q$3:Q$27,J$3:J$27,K$31)-INT(COUNTIFS(J$3:J$27,K$31,M$3:M$27,"*gộp*")/2)</f>
        <v>8</v>
      </c>
      <c r="O32" t="s">
        <v>32</v>
      </c>
      <c r="P32">
        <f>L37</f>
        <v>2722</v>
      </c>
    </row>
    <row r="33" spans="2:16" x14ac:dyDescent="0.25">
      <c r="B33" s="2" t="s">
        <v>152</v>
      </c>
      <c r="C33" s="36">
        <v>0</v>
      </c>
      <c r="D33" s="36"/>
      <c r="K33" t="s">
        <v>153</v>
      </c>
      <c r="L33">
        <f>-SUMIFS(H$3:H$27,J$3:J$27,K$31)+M33*5</f>
        <v>-170</v>
      </c>
      <c r="M33">
        <f>SUMIFS(Q$3:Q$27,J$3:J$27,K$31)-INT(COUNTIFS(J$3:J$27,K$31,M$3:M$27,"*gộp*")/2)</f>
        <v>8</v>
      </c>
      <c r="O33" t="s">
        <v>1698</v>
      </c>
      <c r="P33">
        <f>L45</f>
        <v>4566</v>
      </c>
    </row>
    <row r="34" spans="2:16" x14ac:dyDescent="0.25">
      <c r="B34" s="2" t="s">
        <v>154</v>
      </c>
      <c r="C34" s="36">
        <f>-SUMIFS(I$3:I$27,B$3:B$27,A$31,P$3:P$27,"xx",N$3:N$27,"x")</f>
        <v>0</v>
      </c>
      <c r="D34" s="36"/>
      <c r="E34" s="2">
        <f>SUMIFS(Q$3:Q$27,B$3:B$27,A$31,P$3:P$27,"xx",N$3:N$27,"x")</f>
        <v>0</v>
      </c>
      <c r="K34" t="s">
        <v>155</v>
      </c>
      <c r="L34">
        <f>-M34*2</f>
        <v>-48</v>
      </c>
      <c r="M34">
        <f>E35-(COUNTIFS(M$3:M$27,"*gộp*")/2)-COUNTIFS(M$3:M$27,"*đơn trả*")-COUNTIFS(M$3:M$27,"*hàng tỉnh*")</f>
        <v>24</v>
      </c>
      <c r="O34" t="s">
        <v>103</v>
      </c>
      <c r="P34">
        <f>L53</f>
        <v>8030</v>
      </c>
    </row>
    <row r="35" spans="2:16" x14ac:dyDescent="0.25">
      <c r="B35" s="4" t="s">
        <v>156</v>
      </c>
      <c r="C35" s="34">
        <f>SUBTOTAL(9,C32:C34)</f>
        <v>15235</v>
      </c>
      <c r="D35" s="34"/>
      <c r="E35">
        <f>E32</f>
        <v>25</v>
      </c>
      <c r="K35" s="12" t="s">
        <v>157</v>
      </c>
      <c r="O35" t="s">
        <v>158</v>
      </c>
      <c r="P35">
        <f>-C39</f>
        <v>-15210</v>
      </c>
    </row>
    <row r="36" spans="2:16" x14ac:dyDescent="0.25">
      <c r="B36" s="2" t="s">
        <v>159</v>
      </c>
      <c r="C36" s="32"/>
      <c r="D36" s="32"/>
      <c r="K36" s="2" t="s">
        <v>160</v>
      </c>
      <c r="O36" s="4" t="s">
        <v>161</v>
      </c>
      <c r="P36" s="4">
        <f>SUBTOTAL(9,P32:P35)</f>
        <v>108</v>
      </c>
    </row>
    <row r="37" spans="2:16" x14ac:dyDescent="0.25">
      <c r="B37" s="13" t="s">
        <v>162</v>
      </c>
      <c r="C37" s="32">
        <v>-25</v>
      </c>
      <c r="D37" s="32"/>
      <c r="L37" s="14">
        <f>SUBTOTAL(9,L32:L36)</f>
        <v>2722</v>
      </c>
      <c r="M37" s="14">
        <f>M32</f>
        <v>8</v>
      </c>
    </row>
    <row r="39" spans="2:16" x14ac:dyDescent="0.25">
      <c r="B39" s="1" t="s">
        <v>163</v>
      </c>
      <c r="C39" s="33">
        <f>C35+C36+C37</f>
        <v>15210</v>
      </c>
      <c r="D39" s="33"/>
      <c r="E39" s="1" t="s">
        <v>164</v>
      </c>
      <c r="K39" s="11" t="s">
        <v>1648</v>
      </c>
      <c r="L39" s="11" t="s">
        <v>146</v>
      </c>
      <c r="M39" s="11" t="s">
        <v>145</v>
      </c>
    </row>
    <row r="40" spans="2:16" x14ac:dyDescent="0.25">
      <c r="K40" t="s">
        <v>150</v>
      </c>
      <c r="L40">
        <f>SUMIFS(G$3:G$27,J$3:J$27,K$39)</f>
        <v>4725</v>
      </c>
      <c r="M40">
        <f>SUMIFS(Q$3:Q$27,J$3:J$27,K$39)-INT(COUNTIFS(J$3:J$27,K$39,M$3:M$27,"*gộp*")/2)</f>
        <v>7</v>
      </c>
    </row>
    <row r="41" spans="2:16" x14ac:dyDescent="0.25">
      <c r="K41" t="s">
        <v>153</v>
      </c>
      <c r="L41">
        <f>SUM(H30:H31)</f>
        <v>-159</v>
      </c>
      <c r="M41">
        <f>SUMIFS(Q$3:Q$27,J$3:J$27,K$39)-INT(COUNTIFS(J$3:J$27,K$39,M$3:M$27,"*gộp*")/2)</f>
        <v>7</v>
      </c>
    </row>
    <row r="42" spans="2:16" x14ac:dyDescent="0.25">
      <c r="K42" t="s">
        <v>155</v>
      </c>
    </row>
    <row r="43" spans="2:16" x14ac:dyDescent="0.25">
      <c r="K43" s="12" t="s">
        <v>157</v>
      </c>
    </row>
    <row r="44" spans="2:16" x14ac:dyDescent="0.25">
      <c r="K44" s="2" t="s">
        <v>160</v>
      </c>
    </row>
    <row r="45" spans="2:16" x14ac:dyDescent="0.25">
      <c r="L45" s="14">
        <f>SUBTOTAL(9,L40:L44)</f>
        <v>4566</v>
      </c>
      <c r="M45" s="14">
        <f>M40</f>
        <v>7</v>
      </c>
    </row>
    <row r="47" spans="2:16" x14ac:dyDescent="0.25">
      <c r="K47" s="11" t="s">
        <v>103</v>
      </c>
      <c r="L47" s="11" t="s">
        <v>146</v>
      </c>
      <c r="M47" s="11" t="s">
        <v>145</v>
      </c>
    </row>
    <row r="48" spans="2:16" x14ac:dyDescent="0.25">
      <c r="K48" t="s">
        <v>150</v>
      </c>
      <c r="L48">
        <f>SUMIFS(G$3:G$27,J$3:J$27,K$47)</f>
        <v>8225</v>
      </c>
      <c r="M48">
        <f>SUMIFS(Q$3:Q$27,J$3:J$27,K$47)-INT(COUNTIFS(J$3:J$27,K$47,M$3:M$27,"*gộp*")/2)</f>
        <v>9</v>
      </c>
    </row>
    <row r="49" spans="11:13" x14ac:dyDescent="0.25">
      <c r="K49" t="s">
        <v>153</v>
      </c>
      <c r="L49">
        <f>-SUMIFS(H$3:H$27,J$3:J$27,K$47)+M49*5</f>
        <v>-195</v>
      </c>
      <c r="M49">
        <f>SUMIFS(Q$3:Q$27,J$3:J$27,K$47)-INT(COUNTIFS(J$3:J$27,K$47,M$3:M$27,"*gộp*")/2)</f>
        <v>9</v>
      </c>
    </row>
    <row r="50" spans="11:13" x14ac:dyDescent="0.25">
      <c r="K50" t="s">
        <v>155</v>
      </c>
    </row>
    <row r="51" spans="11:13" x14ac:dyDescent="0.25">
      <c r="K51" s="12" t="s">
        <v>157</v>
      </c>
    </row>
    <row r="52" spans="11:13" x14ac:dyDescent="0.25">
      <c r="K52" s="2" t="s">
        <v>160</v>
      </c>
    </row>
    <row r="53" spans="11:13" x14ac:dyDescent="0.25">
      <c r="L53" s="14">
        <f>SUBTOTAL(9,L48:L52)</f>
        <v>8030</v>
      </c>
      <c r="M53" s="14">
        <f>M48</f>
        <v>9</v>
      </c>
    </row>
  </sheetData>
  <autoFilter ref="A2:P27" xr:uid="{00000000-0009-0000-0000-000012000000}">
    <sortState xmlns:xlrd2="http://schemas.microsoft.com/office/spreadsheetml/2017/richdata2" ref="A3:P27">
      <sortCondition ref="J2:J27"/>
    </sortState>
  </autoFilter>
  <mergeCells count="8">
    <mergeCell ref="C36:D36"/>
    <mergeCell ref="C37:D37"/>
    <mergeCell ref="C39:D39"/>
    <mergeCell ref="C31:D31"/>
    <mergeCell ref="C32:D32"/>
    <mergeCell ref="C33:D33"/>
    <mergeCell ref="C34:D34"/>
    <mergeCell ref="C35:D35"/>
  </mergeCells>
  <pageMargins left="0.75" right="0.75" top="0.75" bottom="0.5" header="0.5" footer="0.7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R59"/>
  <sheetViews>
    <sheetView workbookViewId="0">
      <selection activeCell="Q48" sqref="Q48"/>
    </sheetView>
  </sheetViews>
  <sheetFormatPr defaultRowHeight="15" x14ac:dyDescent="0.25"/>
  <cols>
    <col min="1" max="1" width="12.7109375" customWidth="1"/>
    <col min="2" max="2" width="7.7109375" customWidth="1"/>
    <col min="3" max="3" width="35.85546875" customWidth="1"/>
    <col min="4" max="4" width="9.85546875" customWidth="1"/>
    <col min="5" max="5" width="83.7109375" customWidth="1"/>
    <col min="6" max="6" width="10.855468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0.42578125" customWidth="1"/>
    <col min="13" max="13" width="16.140625" customWidth="1"/>
    <col min="14" max="14" width="9.7109375" customWidth="1"/>
    <col min="15" max="15" width="10.42578125" customWidth="1"/>
    <col min="16" max="16" width="7" bestFit="1" customWidth="1"/>
  </cols>
  <sheetData>
    <row r="2" spans="1:18" x14ac:dyDescent="0.25">
      <c r="A2" s="15" t="s">
        <v>10</v>
      </c>
      <c r="B2" s="15" t="s">
        <v>11</v>
      </c>
      <c r="C2" s="15" t="s">
        <v>12</v>
      </c>
      <c r="D2" s="15" t="s">
        <v>13</v>
      </c>
      <c r="E2" s="15" t="s">
        <v>14</v>
      </c>
      <c r="F2" s="15" t="s">
        <v>15</v>
      </c>
      <c r="G2" s="15" t="s">
        <v>16</v>
      </c>
      <c r="H2" s="15" t="s">
        <v>17</v>
      </c>
      <c r="I2" s="15" t="s">
        <v>18</v>
      </c>
      <c r="J2" s="15" t="s">
        <v>19</v>
      </c>
      <c r="K2" s="15" t="s">
        <v>20</v>
      </c>
      <c r="L2" s="15" t="s">
        <v>21</v>
      </c>
      <c r="M2" s="15" t="s">
        <v>22</v>
      </c>
      <c r="N2" s="15" t="s">
        <v>23</v>
      </c>
      <c r="O2" s="15" t="s">
        <v>24</v>
      </c>
      <c r="P2" s="15" t="s">
        <v>25</v>
      </c>
      <c r="Q2" s="16"/>
    </row>
    <row r="3" spans="1:18" x14ac:dyDescent="0.25">
      <c r="A3" s="16"/>
      <c r="B3" s="16" t="s">
        <v>26</v>
      </c>
      <c r="C3" s="16" t="s">
        <v>966</v>
      </c>
      <c r="D3" s="16" t="s">
        <v>1699</v>
      </c>
      <c r="E3" s="16" t="s">
        <v>633</v>
      </c>
      <c r="F3" s="17">
        <v>6</v>
      </c>
      <c r="G3" s="17">
        <v>895</v>
      </c>
      <c r="H3" s="17">
        <v>25</v>
      </c>
      <c r="I3" s="17">
        <f t="shared" ref="I3:I33" si="0">G3-H3</f>
        <v>870</v>
      </c>
      <c r="J3" s="16" t="s">
        <v>1700</v>
      </c>
      <c r="K3" s="16" t="s">
        <v>32</v>
      </c>
      <c r="L3" s="16" t="s">
        <v>1701</v>
      </c>
      <c r="M3" s="16"/>
      <c r="N3" s="16"/>
      <c r="O3" s="16"/>
      <c r="P3" s="16"/>
      <c r="Q3" s="16">
        <v>1</v>
      </c>
    </row>
    <row r="4" spans="1:18" x14ac:dyDescent="0.25">
      <c r="A4" s="16"/>
      <c r="B4" s="16" t="s">
        <v>26</v>
      </c>
      <c r="C4" s="16" t="s">
        <v>1702</v>
      </c>
      <c r="D4" s="16" t="s">
        <v>1703</v>
      </c>
      <c r="E4" s="16" t="s">
        <v>1704</v>
      </c>
      <c r="F4" s="17">
        <v>8</v>
      </c>
      <c r="G4" s="17">
        <v>710</v>
      </c>
      <c r="H4" s="17">
        <v>30</v>
      </c>
      <c r="I4" s="17">
        <f t="shared" si="0"/>
        <v>680</v>
      </c>
      <c r="J4" s="16" t="s">
        <v>1700</v>
      </c>
      <c r="K4" s="16" t="s">
        <v>32</v>
      </c>
      <c r="L4" s="16" t="s">
        <v>1701</v>
      </c>
      <c r="M4" s="16"/>
      <c r="N4" s="16"/>
      <c r="O4" s="16"/>
      <c r="P4" s="16"/>
      <c r="Q4" s="16">
        <v>1</v>
      </c>
    </row>
    <row r="5" spans="1:18" x14ac:dyDescent="0.25">
      <c r="A5" s="16"/>
      <c r="B5" s="16" t="s">
        <v>26</v>
      </c>
      <c r="C5" s="16" t="s">
        <v>1705</v>
      </c>
      <c r="D5" s="16" t="s">
        <v>1706</v>
      </c>
      <c r="E5" s="16" t="s">
        <v>1707</v>
      </c>
      <c r="F5" s="16" t="s">
        <v>40</v>
      </c>
      <c r="G5" s="17">
        <v>0</v>
      </c>
      <c r="H5" s="17">
        <v>35</v>
      </c>
      <c r="I5" s="17">
        <f t="shared" si="0"/>
        <v>-35</v>
      </c>
      <c r="J5" s="16" t="s">
        <v>1700</v>
      </c>
      <c r="K5" s="16" t="s">
        <v>32</v>
      </c>
      <c r="L5" s="16" t="s">
        <v>1701</v>
      </c>
      <c r="M5" s="16"/>
      <c r="N5" s="16"/>
      <c r="O5" s="16"/>
      <c r="P5" s="16"/>
      <c r="Q5" s="16">
        <v>1</v>
      </c>
      <c r="R5" s="10">
        <f>H5</f>
        <v>35</v>
      </c>
    </row>
    <row r="6" spans="1:18" x14ac:dyDescent="0.25">
      <c r="A6" s="16"/>
      <c r="B6" s="16" t="s">
        <v>26</v>
      </c>
      <c r="C6" s="16" t="s">
        <v>1708</v>
      </c>
      <c r="D6" s="16" t="s">
        <v>1709</v>
      </c>
      <c r="E6" s="16" t="s">
        <v>1710</v>
      </c>
      <c r="F6" s="17">
        <v>8</v>
      </c>
      <c r="G6" s="17">
        <v>710</v>
      </c>
      <c r="H6" s="17">
        <v>30</v>
      </c>
      <c r="I6" s="17">
        <f t="shared" si="0"/>
        <v>680</v>
      </c>
      <c r="J6" s="16" t="s">
        <v>1700</v>
      </c>
      <c r="K6" s="16" t="s">
        <v>32</v>
      </c>
      <c r="L6" s="16" t="s">
        <v>1701</v>
      </c>
      <c r="M6" s="16"/>
      <c r="N6" s="16"/>
      <c r="O6" s="16"/>
      <c r="P6" s="16"/>
      <c r="Q6" s="16">
        <v>1</v>
      </c>
    </row>
    <row r="7" spans="1:18" x14ac:dyDescent="0.25">
      <c r="A7" s="16"/>
      <c r="B7" s="16" t="s">
        <v>26</v>
      </c>
      <c r="C7" s="16" t="s">
        <v>1711</v>
      </c>
      <c r="D7" s="16" t="s">
        <v>1712</v>
      </c>
      <c r="E7" s="16" t="s">
        <v>1713</v>
      </c>
      <c r="F7" s="16" t="s">
        <v>51</v>
      </c>
      <c r="G7" s="17">
        <v>1190</v>
      </c>
      <c r="H7" s="17">
        <v>30</v>
      </c>
      <c r="I7" s="17">
        <f t="shared" si="0"/>
        <v>1160</v>
      </c>
      <c r="J7" s="16" t="s">
        <v>1700</v>
      </c>
      <c r="K7" s="16" t="s">
        <v>32</v>
      </c>
      <c r="L7" s="16" t="s">
        <v>1701</v>
      </c>
      <c r="M7" s="16"/>
      <c r="N7" s="16"/>
      <c r="O7" s="16"/>
      <c r="P7" s="16"/>
      <c r="Q7" s="16">
        <v>1</v>
      </c>
    </row>
    <row r="8" spans="1:18" x14ac:dyDescent="0.25">
      <c r="A8" s="16"/>
      <c r="B8" s="16" t="s">
        <v>26</v>
      </c>
      <c r="C8" s="16" t="s">
        <v>1714</v>
      </c>
      <c r="D8" s="16" t="s">
        <v>1715</v>
      </c>
      <c r="E8" s="16" t="s">
        <v>1716</v>
      </c>
      <c r="F8" s="16" t="s">
        <v>40</v>
      </c>
      <c r="G8" s="17">
        <v>675</v>
      </c>
      <c r="H8" s="17">
        <v>35</v>
      </c>
      <c r="I8" s="17">
        <f t="shared" si="0"/>
        <v>640</v>
      </c>
      <c r="J8" s="16" t="s">
        <v>1700</v>
      </c>
      <c r="K8" s="16" t="s">
        <v>32</v>
      </c>
      <c r="L8" s="16" t="s">
        <v>1701</v>
      </c>
      <c r="M8" s="16"/>
      <c r="N8" s="16"/>
      <c r="O8" s="16"/>
      <c r="P8" s="16"/>
      <c r="Q8" s="16">
        <v>1</v>
      </c>
    </row>
    <row r="9" spans="1:18" x14ac:dyDescent="0.25">
      <c r="A9" s="16"/>
      <c r="B9" s="16" t="s">
        <v>26</v>
      </c>
      <c r="C9" s="16" t="s">
        <v>1120</v>
      </c>
      <c r="D9" s="16" t="s">
        <v>1717</v>
      </c>
      <c r="E9" s="16" t="s">
        <v>1718</v>
      </c>
      <c r="F9" s="16" t="s">
        <v>40</v>
      </c>
      <c r="G9" s="17">
        <v>615</v>
      </c>
      <c r="H9" s="17">
        <v>35</v>
      </c>
      <c r="I9" s="17">
        <f t="shared" si="0"/>
        <v>580</v>
      </c>
      <c r="J9" s="16" t="s">
        <v>1700</v>
      </c>
      <c r="K9" s="16" t="s">
        <v>32</v>
      </c>
      <c r="L9" s="16" t="s">
        <v>1701</v>
      </c>
      <c r="M9" s="16"/>
      <c r="N9" s="16"/>
      <c r="O9" s="16"/>
      <c r="P9" s="16"/>
      <c r="Q9" s="16">
        <v>1</v>
      </c>
    </row>
    <row r="10" spans="1:18" x14ac:dyDescent="0.25">
      <c r="A10" s="16"/>
      <c r="B10" s="16" t="s">
        <v>26</v>
      </c>
      <c r="C10" s="16" t="s">
        <v>497</v>
      </c>
      <c r="D10" s="16" t="s">
        <v>1719</v>
      </c>
      <c r="E10" s="16" t="s">
        <v>499</v>
      </c>
      <c r="F10" s="16" t="s">
        <v>51</v>
      </c>
      <c r="G10" s="17">
        <v>0</v>
      </c>
      <c r="H10" s="17">
        <v>30</v>
      </c>
      <c r="I10" s="17">
        <f t="shared" si="0"/>
        <v>-30</v>
      </c>
      <c r="J10" s="16" t="s">
        <v>1700</v>
      </c>
      <c r="K10" s="16" t="s">
        <v>32</v>
      </c>
      <c r="L10" s="16" t="s">
        <v>1701</v>
      </c>
      <c r="M10" s="16"/>
      <c r="N10" s="16"/>
      <c r="O10" s="16"/>
      <c r="P10" s="16"/>
      <c r="Q10" s="16">
        <v>1</v>
      </c>
      <c r="R10" s="10">
        <f>H10</f>
        <v>30</v>
      </c>
    </row>
    <row r="11" spans="1:18" x14ac:dyDescent="0.25">
      <c r="A11" s="16" t="s">
        <v>141</v>
      </c>
      <c r="B11" s="16" t="s">
        <v>26</v>
      </c>
      <c r="C11" s="16" t="s">
        <v>1720</v>
      </c>
      <c r="D11" s="16"/>
      <c r="E11" s="16" t="s">
        <v>1721</v>
      </c>
      <c r="F11" s="17">
        <v>12</v>
      </c>
      <c r="G11" s="17">
        <v>0</v>
      </c>
      <c r="H11" s="17">
        <v>60</v>
      </c>
      <c r="I11" s="17">
        <f t="shared" si="0"/>
        <v>-60</v>
      </c>
      <c r="J11" s="16" t="s">
        <v>32</v>
      </c>
      <c r="K11" s="16" t="s">
        <v>32</v>
      </c>
      <c r="L11" s="16" t="s">
        <v>1701</v>
      </c>
      <c r="M11" s="16"/>
      <c r="N11" s="16"/>
      <c r="O11" s="16"/>
      <c r="P11" s="16"/>
      <c r="Q11" s="16">
        <v>1</v>
      </c>
      <c r="R11" s="10">
        <f>H11</f>
        <v>60</v>
      </c>
    </row>
    <row r="12" spans="1:18" x14ac:dyDescent="0.25">
      <c r="A12" s="16" t="s">
        <v>141</v>
      </c>
      <c r="B12" s="16" t="s">
        <v>26</v>
      </c>
      <c r="C12" s="16" t="s">
        <v>1722</v>
      </c>
      <c r="D12" s="16"/>
      <c r="E12" s="16" t="s">
        <v>1423</v>
      </c>
      <c r="F12" s="16" t="s">
        <v>93</v>
      </c>
      <c r="G12" s="17">
        <v>40</v>
      </c>
      <c r="H12" s="17">
        <v>40</v>
      </c>
      <c r="I12" s="17">
        <f t="shared" si="0"/>
        <v>0</v>
      </c>
      <c r="J12" s="16" t="s">
        <v>32</v>
      </c>
      <c r="K12" s="16" t="s">
        <v>32</v>
      </c>
      <c r="L12" s="16" t="s">
        <v>1701</v>
      </c>
      <c r="M12" s="16"/>
      <c r="N12" s="16"/>
      <c r="O12" s="16"/>
      <c r="P12" s="16"/>
      <c r="Q12" s="16">
        <v>1</v>
      </c>
    </row>
    <row r="13" spans="1:18" x14ac:dyDescent="0.25">
      <c r="A13" s="16" t="s">
        <v>141</v>
      </c>
      <c r="B13" s="16" t="s">
        <v>26</v>
      </c>
      <c r="C13" s="16" t="s">
        <v>1030</v>
      </c>
      <c r="D13" s="16"/>
      <c r="E13" s="16" t="s">
        <v>317</v>
      </c>
      <c r="F13" s="17">
        <v>12</v>
      </c>
      <c r="G13" s="17">
        <v>0</v>
      </c>
      <c r="H13" s="17">
        <v>40</v>
      </c>
      <c r="I13" s="17">
        <f t="shared" si="0"/>
        <v>-40</v>
      </c>
      <c r="J13" s="16" t="s">
        <v>32</v>
      </c>
      <c r="K13" s="16" t="s">
        <v>32</v>
      </c>
      <c r="L13" s="16" t="s">
        <v>1701</v>
      </c>
      <c r="M13" s="16"/>
      <c r="N13" s="16"/>
      <c r="O13" s="16"/>
      <c r="P13" s="16"/>
      <c r="Q13" s="16">
        <v>1</v>
      </c>
      <c r="R13" s="10">
        <f>H13</f>
        <v>40</v>
      </c>
    </row>
    <row r="14" spans="1:18" x14ac:dyDescent="0.25">
      <c r="A14" s="16" t="s">
        <v>141</v>
      </c>
      <c r="B14" s="16" t="s">
        <v>26</v>
      </c>
      <c r="C14" s="16" t="s">
        <v>204</v>
      </c>
      <c r="D14" s="16"/>
      <c r="E14" s="16" t="s">
        <v>205</v>
      </c>
      <c r="F14" s="16" t="s">
        <v>82</v>
      </c>
      <c r="G14" s="17">
        <v>1410</v>
      </c>
      <c r="H14" s="17">
        <v>30</v>
      </c>
      <c r="I14" s="17">
        <f t="shared" si="0"/>
        <v>1380</v>
      </c>
      <c r="J14" s="16" t="s">
        <v>32</v>
      </c>
      <c r="K14" s="16" t="s">
        <v>32</v>
      </c>
      <c r="L14" s="16" t="s">
        <v>1701</v>
      </c>
      <c r="M14" s="16"/>
      <c r="N14" s="16"/>
      <c r="O14" s="16"/>
      <c r="P14" s="16"/>
      <c r="Q14" s="16">
        <v>1</v>
      </c>
    </row>
    <row r="15" spans="1:18" x14ac:dyDescent="0.25">
      <c r="A15" s="16"/>
      <c r="B15" s="16" t="s">
        <v>26</v>
      </c>
      <c r="C15" s="16" t="s">
        <v>1723</v>
      </c>
      <c r="D15" s="16" t="s">
        <v>1724</v>
      </c>
      <c r="E15" s="16" t="s">
        <v>1725</v>
      </c>
      <c r="F15" s="16" t="s">
        <v>75</v>
      </c>
      <c r="G15" s="17">
        <v>910</v>
      </c>
      <c r="H15" s="17">
        <v>20</v>
      </c>
      <c r="I15" s="17">
        <f t="shared" si="0"/>
        <v>890</v>
      </c>
      <c r="J15" s="16" t="s">
        <v>32</v>
      </c>
      <c r="K15" s="16" t="s">
        <v>32</v>
      </c>
      <c r="L15" s="16" t="s">
        <v>1701</v>
      </c>
      <c r="M15" s="16"/>
      <c r="N15" s="16"/>
      <c r="O15" s="16"/>
      <c r="P15" s="16"/>
      <c r="Q15" s="16">
        <v>1</v>
      </c>
    </row>
    <row r="16" spans="1:18" x14ac:dyDescent="0.25">
      <c r="A16" s="16"/>
      <c r="B16" s="16" t="s">
        <v>26</v>
      </c>
      <c r="C16" s="16" t="s">
        <v>868</v>
      </c>
      <c r="D16" s="16" t="s">
        <v>1726</v>
      </c>
      <c r="E16" s="16" t="s">
        <v>870</v>
      </c>
      <c r="F16" s="16" t="s">
        <v>75</v>
      </c>
      <c r="G16" s="17">
        <v>990</v>
      </c>
      <c r="H16" s="17">
        <v>20</v>
      </c>
      <c r="I16" s="17">
        <f t="shared" si="0"/>
        <v>970</v>
      </c>
      <c r="J16" s="16" t="s">
        <v>32</v>
      </c>
      <c r="K16" s="16" t="s">
        <v>32</v>
      </c>
      <c r="L16" s="16" t="s">
        <v>1701</v>
      </c>
      <c r="M16" s="16"/>
      <c r="N16" s="16"/>
      <c r="O16" s="16"/>
      <c r="P16" s="16"/>
      <c r="Q16" s="16">
        <v>1</v>
      </c>
    </row>
    <row r="17" spans="1:18" x14ac:dyDescent="0.25">
      <c r="A17" s="16"/>
      <c r="B17" s="16" t="s">
        <v>26</v>
      </c>
      <c r="C17" s="16" t="s">
        <v>1727</v>
      </c>
      <c r="D17" s="16" t="s">
        <v>1728</v>
      </c>
      <c r="E17" s="16" t="s">
        <v>1729</v>
      </c>
      <c r="F17" s="16" t="s">
        <v>93</v>
      </c>
      <c r="G17" s="17">
        <v>1635</v>
      </c>
      <c r="H17" s="17">
        <v>25</v>
      </c>
      <c r="I17" s="17">
        <f t="shared" si="0"/>
        <v>1610</v>
      </c>
      <c r="J17" s="16" t="s">
        <v>32</v>
      </c>
      <c r="K17" s="16" t="s">
        <v>32</v>
      </c>
      <c r="L17" s="16" t="s">
        <v>1701</v>
      </c>
      <c r="M17" s="16"/>
      <c r="N17" s="16"/>
      <c r="O17" s="16"/>
      <c r="P17" s="16"/>
      <c r="Q17" s="16">
        <v>1</v>
      </c>
    </row>
    <row r="18" spans="1:18" x14ac:dyDescent="0.25">
      <c r="A18" s="16"/>
      <c r="B18" s="16" t="s">
        <v>26</v>
      </c>
      <c r="C18" s="16" t="s">
        <v>1730</v>
      </c>
      <c r="D18" s="16" t="s">
        <v>1731</v>
      </c>
      <c r="E18" s="16" t="s">
        <v>1596</v>
      </c>
      <c r="F18" s="17">
        <v>12</v>
      </c>
      <c r="G18" s="17">
        <v>0</v>
      </c>
      <c r="H18" s="17">
        <v>30</v>
      </c>
      <c r="I18" s="17">
        <f t="shared" si="0"/>
        <v>-30</v>
      </c>
      <c r="J18" s="16" t="s">
        <v>32</v>
      </c>
      <c r="K18" s="16" t="s">
        <v>32</v>
      </c>
      <c r="L18" s="16" t="s">
        <v>1701</v>
      </c>
      <c r="M18" s="16"/>
      <c r="N18" s="16"/>
      <c r="O18" s="16"/>
      <c r="P18" s="16"/>
      <c r="Q18" s="16">
        <v>1</v>
      </c>
      <c r="R18" s="10">
        <f>H18</f>
        <v>30</v>
      </c>
    </row>
    <row r="19" spans="1:18" x14ac:dyDescent="0.25">
      <c r="A19" s="16"/>
      <c r="B19" s="16" t="s">
        <v>26</v>
      </c>
      <c r="C19" s="16" t="s">
        <v>1732</v>
      </c>
      <c r="D19" s="16" t="s">
        <v>1733</v>
      </c>
      <c r="E19" s="16" t="s">
        <v>1734</v>
      </c>
      <c r="F19" s="17">
        <v>12</v>
      </c>
      <c r="G19" s="17">
        <v>1610</v>
      </c>
      <c r="H19" s="17">
        <v>30</v>
      </c>
      <c r="I19" s="17">
        <f t="shared" si="0"/>
        <v>1580</v>
      </c>
      <c r="J19" s="16" t="s">
        <v>32</v>
      </c>
      <c r="K19" s="16" t="s">
        <v>32</v>
      </c>
      <c r="L19" s="16" t="s">
        <v>1701</v>
      </c>
      <c r="M19" s="16"/>
      <c r="N19" s="16"/>
      <c r="O19" s="16"/>
      <c r="P19" s="16"/>
      <c r="Q19" s="16">
        <v>1</v>
      </c>
    </row>
    <row r="20" spans="1:18" x14ac:dyDescent="0.25">
      <c r="A20" s="16"/>
      <c r="B20" s="16" t="s">
        <v>26</v>
      </c>
      <c r="C20" s="16" t="s">
        <v>1735</v>
      </c>
      <c r="D20" s="16" t="s">
        <v>1736</v>
      </c>
      <c r="E20" s="16" t="s">
        <v>1737</v>
      </c>
      <c r="F20" s="17">
        <v>2</v>
      </c>
      <c r="G20" s="17">
        <v>820</v>
      </c>
      <c r="H20" s="17">
        <v>30</v>
      </c>
      <c r="I20" s="17">
        <f t="shared" si="0"/>
        <v>790</v>
      </c>
      <c r="J20" s="16" t="s">
        <v>32</v>
      </c>
      <c r="K20" s="16" t="s">
        <v>32</v>
      </c>
      <c r="L20" s="16" t="s">
        <v>1701</v>
      </c>
      <c r="M20" s="16"/>
      <c r="N20" s="16"/>
      <c r="O20" s="16"/>
      <c r="P20" s="16"/>
      <c r="Q20" s="16">
        <v>1</v>
      </c>
    </row>
    <row r="21" spans="1:18" x14ac:dyDescent="0.25">
      <c r="A21" s="16"/>
      <c r="B21" s="16" t="s">
        <v>26</v>
      </c>
      <c r="C21" s="16" t="s">
        <v>1738</v>
      </c>
      <c r="D21" s="16" t="s">
        <v>1739</v>
      </c>
      <c r="E21" s="16" t="s">
        <v>1740</v>
      </c>
      <c r="F21" s="17">
        <v>2</v>
      </c>
      <c r="G21" s="17">
        <v>670</v>
      </c>
      <c r="H21" s="17">
        <v>30</v>
      </c>
      <c r="I21" s="17">
        <f t="shared" si="0"/>
        <v>640</v>
      </c>
      <c r="J21" s="16" t="s">
        <v>32</v>
      </c>
      <c r="K21" s="16" t="s">
        <v>32</v>
      </c>
      <c r="L21" s="16" t="s">
        <v>1701</v>
      </c>
      <c r="M21" s="16"/>
      <c r="N21" s="16"/>
      <c r="O21" s="16"/>
      <c r="P21" s="16"/>
      <c r="Q21" s="16">
        <v>1</v>
      </c>
    </row>
    <row r="22" spans="1:18" x14ac:dyDescent="0.25">
      <c r="A22" s="16"/>
      <c r="B22" s="16" t="s">
        <v>26</v>
      </c>
      <c r="C22" s="16" t="s">
        <v>1741</v>
      </c>
      <c r="D22" s="16" t="s">
        <v>1742</v>
      </c>
      <c r="E22" s="16" t="s">
        <v>1743</v>
      </c>
      <c r="F22" s="17">
        <v>2</v>
      </c>
      <c r="G22" s="17">
        <v>2890</v>
      </c>
      <c r="H22" s="17">
        <v>35</v>
      </c>
      <c r="I22" s="17">
        <f t="shared" si="0"/>
        <v>2855</v>
      </c>
      <c r="J22" s="16" t="s">
        <v>32</v>
      </c>
      <c r="K22" s="16" t="s">
        <v>32</v>
      </c>
      <c r="L22" s="16" t="s">
        <v>1701</v>
      </c>
      <c r="M22" s="16"/>
      <c r="N22" s="16"/>
      <c r="O22" s="16"/>
      <c r="P22" s="16"/>
      <c r="Q22" s="16">
        <v>1</v>
      </c>
    </row>
    <row r="23" spans="1:18" x14ac:dyDescent="0.25">
      <c r="A23" s="16"/>
      <c r="B23" s="16" t="s">
        <v>26</v>
      </c>
      <c r="C23" s="16" t="s">
        <v>1744</v>
      </c>
      <c r="D23" s="16" t="s">
        <v>1745</v>
      </c>
      <c r="E23" s="16" t="s">
        <v>1746</v>
      </c>
      <c r="F23" s="16" t="s">
        <v>89</v>
      </c>
      <c r="G23" s="17">
        <v>800</v>
      </c>
      <c r="H23" s="17">
        <v>30</v>
      </c>
      <c r="I23" s="17">
        <f t="shared" si="0"/>
        <v>770</v>
      </c>
      <c r="J23" s="16" t="s">
        <v>32</v>
      </c>
      <c r="K23" s="16" t="s">
        <v>32</v>
      </c>
      <c r="L23" s="16" t="s">
        <v>1701</v>
      </c>
      <c r="M23" s="16"/>
      <c r="N23" s="16"/>
      <c r="O23" s="16"/>
      <c r="P23" s="16"/>
      <c r="Q23" s="16">
        <v>1</v>
      </c>
    </row>
    <row r="24" spans="1:18" x14ac:dyDescent="0.25">
      <c r="A24" s="16"/>
      <c r="B24" s="16" t="s">
        <v>26</v>
      </c>
      <c r="C24" s="16" t="s">
        <v>1747</v>
      </c>
      <c r="D24" s="16" t="s">
        <v>1748</v>
      </c>
      <c r="E24" s="16" t="s">
        <v>1749</v>
      </c>
      <c r="F24" s="17">
        <v>12</v>
      </c>
      <c r="G24" s="17">
        <v>1520</v>
      </c>
      <c r="H24" s="17">
        <v>30</v>
      </c>
      <c r="I24" s="17">
        <f t="shared" si="0"/>
        <v>1490</v>
      </c>
      <c r="J24" s="16" t="s">
        <v>32</v>
      </c>
      <c r="K24" s="16" t="s">
        <v>32</v>
      </c>
      <c r="L24" s="16" t="s">
        <v>1701</v>
      </c>
      <c r="M24" s="18" t="s">
        <v>55</v>
      </c>
      <c r="N24" s="16"/>
      <c r="O24" s="16"/>
      <c r="P24" s="16"/>
      <c r="Q24" s="16">
        <v>1</v>
      </c>
      <c r="R24" s="10">
        <f>H24</f>
        <v>30</v>
      </c>
    </row>
    <row r="25" spans="1:18" x14ac:dyDescent="0.25">
      <c r="A25" s="16"/>
      <c r="B25" s="16" t="s">
        <v>26</v>
      </c>
      <c r="C25" s="16" t="s">
        <v>1750</v>
      </c>
      <c r="D25" s="16" t="s">
        <v>1751</v>
      </c>
      <c r="E25" s="16" t="s">
        <v>1752</v>
      </c>
      <c r="F25" s="16" t="s">
        <v>93</v>
      </c>
      <c r="G25" s="17">
        <v>0</v>
      </c>
      <c r="H25" s="17">
        <v>25</v>
      </c>
      <c r="I25" s="17">
        <f t="shared" si="0"/>
        <v>-25</v>
      </c>
      <c r="J25" s="16" t="s">
        <v>32</v>
      </c>
      <c r="K25" s="16" t="s">
        <v>32</v>
      </c>
      <c r="L25" s="16" t="s">
        <v>1701</v>
      </c>
      <c r="M25" s="16"/>
      <c r="N25" s="16"/>
      <c r="O25" s="16"/>
      <c r="P25" s="16"/>
      <c r="Q25" s="16">
        <v>1</v>
      </c>
      <c r="R25" s="10">
        <f>H25</f>
        <v>25</v>
      </c>
    </row>
    <row r="26" spans="1:18" x14ac:dyDescent="0.25">
      <c r="A26" s="16"/>
      <c r="B26" s="16" t="s">
        <v>26</v>
      </c>
      <c r="C26" s="16" t="s">
        <v>1753</v>
      </c>
      <c r="D26" s="16" t="s">
        <v>1754</v>
      </c>
      <c r="E26" s="16" t="s">
        <v>1755</v>
      </c>
      <c r="F26" s="17">
        <v>2</v>
      </c>
      <c r="G26" s="17">
        <v>670</v>
      </c>
      <c r="H26" s="17">
        <v>30</v>
      </c>
      <c r="I26" s="17">
        <f t="shared" si="0"/>
        <v>640</v>
      </c>
      <c r="J26" s="16" t="s">
        <v>32</v>
      </c>
      <c r="K26" s="16" t="s">
        <v>32</v>
      </c>
      <c r="L26" s="16" t="s">
        <v>1701</v>
      </c>
      <c r="M26" s="16"/>
      <c r="N26" s="16"/>
      <c r="O26" s="16"/>
      <c r="P26" s="16"/>
      <c r="Q26" s="16">
        <v>1</v>
      </c>
    </row>
    <row r="27" spans="1:18" x14ac:dyDescent="0.25">
      <c r="A27" s="16"/>
      <c r="B27" s="16" t="s">
        <v>26</v>
      </c>
      <c r="C27" s="16" t="s">
        <v>1756</v>
      </c>
      <c r="D27" s="16" t="s">
        <v>1757</v>
      </c>
      <c r="E27" s="16" t="s">
        <v>1758</v>
      </c>
      <c r="F27" s="17">
        <v>7</v>
      </c>
      <c r="G27" s="17">
        <v>720</v>
      </c>
      <c r="H27" s="17">
        <v>30</v>
      </c>
      <c r="I27" s="17">
        <f t="shared" si="0"/>
        <v>690</v>
      </c>
      <c r="J27" s="16" t="s">
        <v>103</v>
      </c>
      <c r="K27" s="16" t="s">
        <v>32</v>
      </c>
      <c r="L27" s="16" t="s">
        <v>1701</v>
      </c>
      <c r="M27" s="16"/>
      <c r="N27" s="16"/>
      <c r="O27" s="16"/>
      <c r="P27" s="16"/>
      <c r="Q27" s="16">
        <v>1</v>
      </c>
    </row>
    <row r="28" spans="1:18" x14ac:dyDescent="0.25">
      <c r="A28" s="16"/>
      <c r="B28" s="16" t="s">
        <v>26</v>
      </c>
      <c r="C28" s="16" t="s">
        <v>1759</v>
      </c>
      <c r="D28" s="16" t="s">
        <v>1760</v>
      </c>
      <c r="E28" s="16" t="s">
        <v>1761</v>
      </c>
      <c r="F28" s="17">
        <v>1</v>
      </c>
      <c r="G28" s="17">
        <v>715</v>
      </c>
      <c r="H28" s="17">
        <v>25</v>
      </c>
      <c r="I28" s="17">
        <f t="shared" si="0"/>
        <v>690</v>
      </c>
      <c r="J28" s="16" t="s">
        <v>103</v>
      </c>
      <c r="K28" s="16" t="s">
        <v>32</v>
      </c>
      <c r="L28" s="16" t="s">
        <v>1701</v>
      </c>
      <c r="M28" s="16"/>
      <c r="N28" s="16"/>
      <c r="O28" s="16"/>
      <c r="P28" s="16"/>
      <c r="Q28" s="16">
        <v>1</v>
      </c>
    </row>
    <row r="29" spans="1:18" x14ac:dyDescent="0.25">
      <c r="A29" s="16"/>
      <c r="B29" s="16" t="s">
        <v>26</v>
      </c>
      <c r="C29" s="16" t="s">
        <v>1762</v>
      </c>
      <c r="D29" s="16" t="s">
        <v>1763</v>
      </c>
      <c r="E29" s="16" t="s">
        <v>1764</v>
      </c>
      <c r="F29" s="17">
        <v>1</v>
      </c>
      <c r="G29" s="17">
        <v>0</v>
      </c>
      <c r="H29" s="17">
        <v>25</v>
      </c>
      <c r="I29" s="17">
        <f t="shared" si="0"/>
        <v>-25</v>
      </c>
      <c r="J29" s="16" t="s">
        <v>103</v>
      </c>
      <c r="K29" s="16" t="s">
        <v>32</v>
      </c>
      <c r="L29" s="16" t="s">
        <v>1701</v>
      </c>
      <c r="M29" s="16"/>
      <c r="N29" s="16"/>
      <c r="O29" s="16"/>
      <c r="P29" s="16"/>
      <c r="Q29" s="16">
        <v>1</v>
      </c>
      <c r="R29" s="10">
        <f>H29</f>
        <v>25</v>
      </c>
    </row>
    <row r="30" spans="1:18" x14ac:dyDescent="0.25">
      <c r="A30" s="16"/>
      <c r="B30" s="16" t="s">
        <v>26</v>
      </c>
      <c r="C30" s="16" t="s">
        <v>189</v>
      </c>
      <c r="D30" s="16" t="s">
        <v>1765</v>
      </c>
      <c r="E30" s="16" t="s">
        <v>1065</v>
      </c>
      <c r="F30" s="16" t="s">
        <v>93</v>
      </c>
      <c r="G30" s="17">
        <v>1695</v>
      </c>
      <c r="H30" s="17">
        <v>25</v>
      </c>
      <c r="I30" s="17">
        <f t="shared" si="0"/>
        <v>1670</v>
      </c>
      <c r="J30" s="16" t="s">
        <v>103</v>
      </c>
      <c r="K30" s="16" t="s">
        <v>32</v>
      </c>
      <c r="L30" s="16" t="s">
        <v>1701</v>
      </c>
      <c r="M30" s="16"/>
      <c r="N30" s="16"/>
      <c r="O30" s="16"/>
      <c r="P30" s="16"/>
      <c r="Q30" s="16">
        <v>1</v>
      </c>
    </row>
    <row r="31" spans="1:18" s="21" customFormat="1" x14ac:dyDescent="0.25">
      <c r="A31" s="19"/>
      <c r="B31" s="19" t="s">
        <v>26</v>
      </c>
      <c r="C31" s="19" t="s">
        <v>1631</v>
      </c>
      <c r="D31" s="19" t="s">
        <v>1766</v>
      </c>
      <c r="E31" s="19" t="s">
        <v>1767</v>
      </c>
      <c r="F31" s="20">
        <v>8</v>
      </c>
      <c r="G31" s="20">
        <v>750</v>
      </c>
      <c r="H31" s="20">
        <v>20</v>
      </c>
      <c r="I31" s="20">
        <f t="shared" si="0"/>
        <v>730</v>
      </c>
      <c r="J31" s="19" t="s">
        <v>103</v>
      </c>
      <c r="K31" s="19" t="s">
        <v>32</v>
      </c>
      <c r="L31" s="19" t="s">
        <v>1701</v>
      </c>
      <c r="M31" s="19" t="s">
        <v>68</v>
      </c>
      <c r="N31" s="19"/>
      <c r="O31" s="19"/>
      <c r="P31" s="19"/>
      <c r="Q31" s="19">
        <v>1</v>
      </c>
    </row>
    <row r="32" spans="1:18" x14ac:dyDescent="0.25">
      <c r="A32" s="16"/>
      <c r="B32" s="16" t="s">
        <v>26</v>
      </c>
      <c r="C32" s="16" t="s">
        <v>1768</v>
      </c>
      <c r="D32" s="16" t="s">
        <v>1769</v>
      </c>
      <c r="E32" s="16" t="s">
        <v>1770</v>
      </c>
      <c r="F32" s="17">
        <v>4</v>
      </c>
      <c r="G32" s="17">
        <v>0</v>
      </c>
      <c r="H32" s="17">
        <v>25</v>
      </c>
      <c r="I32" s="17">
        <f t="shared" si="0"/>
        <v>-25</v>
      </c>
      <c r="J32" s="16" t="s">
        <v>103</v>
      </c>
      <c r="K32" s="16" t="s">
        <v>32</v>
      </c>
      <c r="L32" s="16" t="s">
        <v>1701</v>
      </c>
      <c r="M32" s="18" t="s">
        <v>1771</v>
      </c>
      <c r="N32" s="16"/>
      <c r="O32" s="16"/>
      <c r="P32" s="16"/>
      <c r="Q32" s="16">
        <v>1</v>
      </c>
      <c r="R32" s="10">
        <f>H32</f>
        <v>25</v>
      </c>
    </row>
    <row r="33" spans="1:18" x14ac:dyDescent="0.25">
      <c r="A33" s="16"/>
      <c r="B33" s="16" t="s">
        <v>26</v>
      </c>
      <c r="C33" s="16" t="s">
        <v>1772</v>
      </c>
      <c r="D33" s="16" t="s">
        <v>1773</v>
      </c>
      <c r="E33" s="16" t="s">
        <v>1774</v>
      </c>
      <c r="F33" s="17">
        <v>7</v>
      </c>
      <c r="G33" s="17">
        <v>1390</v>
      </c>
      <c r="H33" s="17">
        <v>35</v>
      </c>
      <c r="I33" s="17">
        <f t="shared" si="0"/>
        <v>1355</v>
      </c>
      <c r="J33" s="16" t="s">
        <v>103</v>
      </c>
      <c r="K33" s="16" t="s">
        <v>32</v>
      </c>
      <c r="L33" s="16" t="s">
        <v>1701</v>
      </c>
      <c r="M33" s="18" t="s">
        <v>55</v>
      </c>
      <c r="N33" s="16"/>
      <c r="O33" s="16"/>
      <c r="P33" s="16"/>
      <c r="Q33" s="16">
        <v>1</v>
      </c>
      <c r="R33" s="10">
        <f>H33</f>
        <v>35</v>
      </c>
    </row>
    <row r="35" spans="1:18" x14ac:dyDescent="0.25">
      <c r="D35" s="1">
        <f>COUNTA(D3:D33)</f>
        <v>27</v>
      </c>
      <c r="G35" s="1">
        <f t="shared" ref="G35:Q35" si="1">SUBTOTAL(9,G3:G33)</f>
        <v>24030</v>
      </c>
      <c r="H35" s="1">
        <f t="shared" si="1"/>
        <v>940</v>
      </c>
      <c r="I35" s="1">
        <f t="shared" si="1"/>
        <v>23090</v>
      </c>
      <c r="J35" s="1">
        <f t="shared" si="1"/>
        <v>0</v>
      </c>
      <c r="K35" s="1">
        <f t="shared" si="1"/>
        <v>0</v>
      </c>
      <c r="L35" s="1">
        <f t="shared" si="1"/>
        <v>0</v>
      </c>
      <c r="M35" s="1">
        <f t="shared" si="1"/>
        <v>0</v>
      </c>
      <c r="N35" s="1">
        <f t="shared" si="1"/>
        <v>0</v>
      </c>
      <c r="O35" s="1">
        <f t="shared" si="1"/>
        <v>0</v>
      </c>
      <c r="P35" s="1">
        <f t="shared" si="1"/>
        <v>0</v>
      </c>
      <c r="Q35" s="1">
        <f t="shared" si="1"/>
        <v>31</v>
      </c>
    </row>
    <row r="36" spans="1:18" x14ac:dyDescent="0.25">
      <c r="H36">
        <f>-3*17</f>
        <v>-51</v>
      </c>
    </row>
    <row r="37" spans="1:18" x14ac:dyDescent="0.25">
      <c r="A37" s="1" t="s">
        <v>26</v>
      </c>
      <c r="C37" s="34" t="s">
        <v>144</v>
      </c>
      <c r="D37" s="34"/>
      <c r="E37" s="4" t="s">
        <v>145</v>
      </c>
      <c r="H37">
        <f>-2*25</f>
        <v>-50</v>
      </c>
      <c r="K37" s="11" t="s">
        <v>32</v>
      </c>
      <c r="L37" s="11" t="s">
        <v>146</v>
      </c>
      <c r="M37" s="11" t="s">
        <v>145</v>
      </c>
      <c r="O37" s="4" t="s">
        <v>147</v>
      </c>
    </row>
    <row r="38" spans="1:18" x14ac:dyDescent="0.25">
      <c r="A38" t="s">
        <v>1701</v>
      </c>
      <c r="B38" s="3" t="s">
        <v>148</v>
      </c>
      <c r="C38" s="35">
        <f>SUMIFS(I$3:I$33,B$3:B$33,A$37,L$3:L$33,A$38)</f>
        <v>23090</v>
      </c>
      <c r="D38" s="35"/>
      <c r="E38" s="3">
        <f>SUMIFS(Q$3:Q$33,B$3:B$33,A$37,L$3:L$33,A$38)</f>
        <v>31</v>
      </c>
      <c r="F38" t="s">
        <v>149</v>
      </c>
      <c r="H38">
        <f>-3*30</f>
        <v>-90</v>
      </c>
      <c r="K38" t="s">
        <v>150</v>
      </c>
      <c r="L38">
        <f>SUMIFS(G$3:G$33,J$3:J$33,K$37)</f>
        <v>13965</v>
      </c>
      <c r="M38">
        <f>SUMIFS(Q$3:Q$33,J$3:J$33,K$37)-INT(COUNTIFS(J$3:J$33,K$37,M$3:M$33,"*gộp*")/2)</f>
        <v>16</v>
      </c>
      <c r="O38" t="s">
        <v>32</v>
      </c>
      <c r="P38">
        <f>L43</f>
        <v>13478</v>
      </c>
    </row>
    <row r="39" spans="1:18" x14ac:dyDescent="0.25">
      <c r="B39" s="2" t="s">
        <v>152</v>
      </c>
      <c r="C39" s="36">
        <v>0</v>
      </c>
      <c r="D39" s="36"/>
      <c r="K39" t="s">
        <v>153</v>
      </c>
      <c r="L39">
        <f>-SUMIFS(H$3:H$33,J$3:J$33,K$37)+M39*5</f>
        <v>-425</v>
      </c>
      <c r="M39">
        <f>SUMIFS(Q$3:Q$33,J$3:J$33,K$37)-INT(COUNTIFS(J$3:J$33,K$37,M$3:M$33,"*gộp*")/2)</f>
        <v>16</v>
      </c>
      <c r="O39" t="s">
        <v>103</v>
      </c>
      <c r="P39">
        <f>L51</f>
        <v>5120</v>
      </c>
    </row>
    <row r="40" spans="1:18" x14ac:dyDescent="0.25">
      <c r="B40" s="2" t="s">
        <v>154</v>
      </c>
      <c r="C40" s="36">
        <f>-SUMIFS(I$3:I$33,B$3:B$33,A$37,P$3:P$33,"xx",N$3:N$33,"x")</f>
        <v>0</v>
      </c>
      <c r="D40" s="36"/>
      <c r="E40" s="2">
        <f>SUMIFS(Q$3:Q$33,B$3:B$33,A$37,P$3:P$33,"xx",N$3:N$33,"x")</f>
        <v>0</v>
      </c>
      <c r="K40" t="s">
        <v>155</v>
      </c>
      <c r="L40">
        <f>-M40*2</f>
        <v>-62</v>
      </c>
      <c r="M40">
        <f>E41-(COUNTIFS(M$3:M$33,"*gộp*")/2)-COUNTIFS(M$3:M$33,"*đơn trả*")-COUNTIFS(M$3:M$33,"*hàng tỉnh*")</f>
        <v>31</v>
      </c>
      <c r="O40" t="s">
        <v>1775</v>
      </c>
      <c r="P40">
        <f>L59</f>
        <v>4604</v>
      </c>
    </row>
    <row r="41" spans="1:18" x14ac:dyDescent="0.25">
      <c r="B41" s="4" t="s">
        <v>156</v>
      </c>
      <c r="C41" s="34">
        <f>SUBTOTAL(9,C38:C40)</f>
        <v>23090</v>
      </c>
      <c r="D41" s="34"/>
      <c r="E41">
        <f>E38</f>
        <v>31</v>
      </c>
      <c r="K41" s="12" t="s">
        <v>157</v>
      </c>
      <c r="O41" t="s">
        <v>158</v>
      </c>
      <c r="P41">
        <f>-C45</f>
        <v>-23090</v>
      </c>
    </row>
    <row r="42" spans="1:18" x14ac:dyDescent="0.25">
      <c r="B42" s="2" t="s">
        <v>159</v>
      </c>
      <c r="C42" s="32"/>
      <c r="D42" s="32"/>
      <c r="K42" s="2" t="s">
        <v>160</v>
      </c>
      <c r="O42" s="4" t="s">
        <v>161</v>
      </c>
      <c r="P42" s="4">
        <f>SUBTOTAL(9,P38:P41)</f>
        <v>112</v>
      </c>
    </row>
    <row r="43" spans="1:18" x14ac:dyDescent="0.25">
      <c r="B43" s="13" t="s">
        <v>162</v>
      </c>
      <c r="C43" s="32"/>
      <c r="D43" s="32"/>
      <c r="L43" s="14">
        <f>SUBTOTAL(9,L38:L42)</f>
        <v>13478</v>
      </c>
      <c r="M43" s="14">
        <f>M38</f>
        <v>16</v>
      </c>
    </row>
    <row r="45" spans="1:18" x14ac:dyDescent="0.25">
      <c r="B45" s="1" t="s">
        <v>163</v>
      </c>
      <c r="C45" s="33">
        <f>C41+C42+C43</f>
        <v>23090</v>
      </c>
      <c r="D45" s="33"/>
      <c r="E45" s="1" t="s">
        <v>164</v>
      </c>
      <c r="K45" s="11" t="s">
        <v>103</v>
      </c>
      <c r="L45" s="11" t="s">
        <v>146</v>
      </c>
      <c r="M45" s="11" t="s">
        <v>145</v>
      </c>
    </row>
    <row r="46" spans="1:18" x14ac:dyDescent="0.25">
      <c r="K46" t="s">
        <v>150</v>
      </c>
      <c r="L46">
        <f>SUMIFS(G$3:G$33,J$3:J$33,K$45)</f>
        <v>5270</v>
      </c>
      <c r="M46">
        <f>SUMIFS(Q$3:Q$33,J$3:J$33,K$45)-INT(COUNTIFS(J$3:J$33,K$45,M$3:M$33,"*gộp*")/2)</f>
        <v>7</v>
      </c>
    </row>
    <row r="47" spans="1:18" x14ac:dyDescent="0.25">
      <c r="K47" t="s">
        <v>153</v>
      </c>
      <c r="L47">
        <f>-SUMIFS(H$3:H$33,J$3:J$33,K$45)+M47*5</f>
        <v>-150</v>
      </c>
      <c r="M47">
        <f>SUMIFS(Q$3:Q$33,J$3:J$33,K$45)-INT(COUNTIFS(J$3:J$33,K$45,M$3:M$33,"*gộp*")/2)</f>
        <v>7</v>
      </c>
    </row>
    <row r="48" spans="1:18" x14ac:dyDescent="0.25">
      <c r="K48" t="s">
        <v>155</v>
      </c>
    </row>
    <row r="49" spans="11:13" x14ac:dyDescent="0.25">
      <c r="K49" s="12" t="s">
        <v>157</v>
      </c>
    </row>
    <row r="50" spans="11:13" x14ac:dyDescent="0.25">
      <c r="K50" s="2" t="s">
        <v>160</v>
      </c>
    </row>
    <row r="51" spans="11:13" x14ac:dyDescent="0.25">
      <c r="L51" s="14">
        <f>SUBTOTAL(9,L46:L50)</f>
        <v>5120</v>
      </c>
      <c r="M51" s="14">
        <f>M46</f>
        <v>7</v>
      </c>
    </row>
    <row r="53" spans="11:13" x14ac:dyDescent="0.25">
      <c r="K53" s="11" t="s">
        <v>1700</v>
      </c>
      <c r="L53" s="11" t="s">
        <v>146</v>
      </c>
      <c r="M53" s="11" t="s">
        <v>145</v>
      </c>
    </row>
    <row r="54" spans="11:13" x14ac:dyDescent="0.25">
      <c r="K54" t="s">
        <v>150</v>
      </c>
      <c r="L54">
        <f>SUMIFS(G$3:G$33,J$3:J$33,K$53)</f>
        <v>4795</v>
      </c>
      <c r="M54">
        <f>SUMIFS(Q$3:Q$33,J$3:J$33,K$53)-INT(COUNTIFS(J$3:J$33,K$53,M$3:M$33,"*gộp*")/2)</f>
        <v>8</v>
      </c>
    </row>
    <row r="55" spans="11:13" x14ac:dyDescent="0.25">
      <c r="K55" t="s">
        <v>153</v>
      </c>
      <c r="L55">
        <f>SUM(H36:H38)</f>
        <v>-191</v>
      </c>
      <c r="M55">
        <f>SUMIFS(Q$3:Q$33,J$3:J$33,K$53)-INT(COUNTIFS(J$3:J$33,K$53,M$3:M$33,"*gộp*")/2)</f>
        <v>8</v>
      </c>
    </row>
    <row r="56" spans="11:13" x14ac:dyDescent="0.25">
      <c r="K56" t="s">
        <v>155</v>
      </c>
    </row>
    <row r="57" spans="11:13" x14ac:dyDescent="0.25">
      <c r="K57" s="12" t="s">
        <v>157</v>
      </c>
    </row>
    <row r="58" spans="11:13" x14ac:dyDescent="0.25">
      <c r="K58" s="2" t="s">
        <v>160</v>
      </c>
    </row>
    <row r="59" spans="11:13" x14ac:dyDescent="0.25">
      <c r="L59" s="14">
        <f>SUBTOTAL(9,L54:L58)</f>
        <v>4604</v>
      </c>
      <c r="M59" s="14">
        <f>M54</f>
        <v>8</v>
      </c>
    </row>
  </sheetData>
  <autoFilter ref="A2:P33" xr:uid="{00000000-0009-0000-0000-000013000000}">
    <sortState xmlns:xlrd2="http://schemas.microsoft.com/office/spreadsheetml/2017/richdata2" ref="A3:P33">
      <sortCondition ref="J2:J33"/>
    </sortState>
  </autoFilter>
  <mergeCells count="8">
    <mergeCell ref="C42:D42"/>
    <mergeCell ref="C43:D43"/>
    <mergeCell ref="C45:D45"/>
    <mergeCell ref="C37:D37"/>
    <mergeCell ref="C38:D38"/>
    <mergeCell ref="C39:D39"/>
    <mergeCell ref="C40:D40"/>
    <mergeCell ref="C41:D41"/>
  </mergeCells>
  <pageMargins left="0.75" right="0.75" top="0.75" bottom="0.5" header="0.5" footer="0.7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R72"/>
  <sheetViews>
    <sheetView topLeftCell="A34" zoomScale="90" zoomScaleNormal="90" workbookViewId="0">
      <selection activeCell="C56" sqref="C56 C56:D56"/>
    </sheetView>
  </sheetViews>
  <sheetFormatPr defaultRowHeight="15" x14ac:dyDescent="0.25"/>
  <cols>
    <col min="1" max="1" width="12.7109375" customWidth="1"/>
    <col min="2" max="2" width="9" customWidth="1"/>
    <col min="3" max="3" width="45.7109375" customWidth="1"/>
    <col min="4" max="4" width="9.85546875" customWidth="1"/>
    <col min="5" max="5" width="78.5703125" customWidth="1"/>
    <col min="6" max="6" width="10.855468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2.5703125" bestFit="1" customWidth="1"/>
    <col min="13" max="13" width="15.28515625" bestFit="1" customWidth="1"/>
    <col min="14" max="14" width="9.7109375" customWidth="1"/>
    <col min="15" max="15" width="10.42578125" customWidth="1"/>
    <col min="16" max="16" width="7.28515625" bestFit="1" customWidth="1"/>
  </cols>
  <sheetData>
    <row r="2" spans="1:18" x14ac:dyDescent="0.25">
      <c r="A2" s="15" t="s">
        <v>10</v>
      </c>
      <c r="B2" s="15" t="s">
        <v>11</v>
      </c>
      <c r="C2" s="15" t="s">
        <v>12</v>
      </c>
      <c r="D2" s="15" t="s">
        <v>13</v>
      </c>
      <c r="E2" s="15" t="s">
        <v>14</v>
      </c>
      <c r="F2" s="15" t="s">
        <v>15</v>
      </c>
      <c r="G2" s="15" t="s">
        <v>16</v>
      </c>
      <c r="H2" s="15" t="s">
        <v>17</v>
      </c>
      <c r="I2" s="15" t="s">
        <v>18</v>
      </c>
      <c r="J2" s="15" t="s">
        <v>19</v>
      </c>
      <c r="K2" s="15" t="s">
        <v>20</v>
      </c>
      <c r="L2" s="15" t="s">
        <v>21</v>
      </c>
      <c r="M2" s="15" t="s">
        <v>22</v>
      </c>
      <c r="N2" s="15" t="s">
        <v>23</v>
      </c>
      <c r="O2" s="15" t="s">
        <v>24</v>
      </c>
      <c r="P2" s="15" t="s">
        <v>25</v>
      </c>
      <c r="Q2" s="16"/>
    </row>
    <row r="3" spans="1:18" x14ac:dyDescent="0.25">
      <c r="A3" s="16"/>
      <c r="B3" s="16" t="s">
        <v>26</v>
      </c>
      <c r="C3" s="16" t="s">
        <v>1776</v>
      </c>
      <c r="D3" s="16" t="s">
        <v>1777</v>
      </c>
      <c r="E3" s="16" t="s">
        <v>1778</v>
      </c>
      <c r="F3" s="16" t="s">
        <v>30</v>
      </c>
      <c r="G3" s="17">
        <v>665</v>
      </c>
      <c r="H3" s="17">
        <v>25</v>
      </c>
      <c r="I3" s="17">
        <f t="shared" ref="I3:I46" si="0">G3-H3</f>
        <v>640</v>
      </c>
      <c r="J3" s="16" t="s">
        <v>1779</v>
      </c>
      <c r="K3" s="16" t="s">
        <v>32</v>
      </c>
      <c r="L3" s="16" t="s">
        <v>1780</v>
      </c>
      <c r="M3" s="16"/>
      <c r="N3" s="16"/>
      <c r="O3" s="16"/>
      <c r="P3" s="16"/>
      <c r="Q3" s="16">
        <v>1</v>
      </c>
    </row>
    <row r="4" spans="1:18" x14ac:dyDescent="0.25">
      <c r="A4" s="16"/>
      <c r="B4" s="16" t="s">
        <v>26</v>
      </c>
      <c r="C4" s="16" t="s">
        <v>1781</v>
      </c>
      <c r="D4" s="16" t="s">
        <v>1782</v>
      </c>
      <c r="E4" s="16" t="s">
        <v>1783</v>
      </c>
      <c r="F4" s="16" t="s">
        <v>51</v>
      </c>
      <c r="G4" s="17">
        <v>0</v>
      </c>
      <c r="H4" s="17">
        <v>30</v>
      </c>
      <c r="I4" s="17">
        <f t="shared" si="0"/>
        <v>-30</v>
      </c>
      <c r="J4" s="16" t="s">
        <v>1779</v>
      </c>
      <c r="K4" s="16" t="s">
        <v>32</v>
      </c>
      <c r="L4" s="16" t="s">
        <v>1780</v>
      </c>
      <c r="M4" s="16"/>
      <c r="N4" s="16"/>
      <c r="O4" s="16"/>
      <c r="P4" s="16"/>
      <c r="Q4" s="16">
        <v>1</v>
      </c>
      <c r="R4" s="10">
        <f>H4</f>
        <v>30</v>
      </c>
    </row>
    <row r="5" spans="1:18" x14ac:dyDescent="0.25">
      <c r="A5" s="16"/>
      <c r="B5" s="16" t="s">
        <v>26</v>
      </c>
      <c r="C5" s="16" t="s">
        <v>1784</v>
      </c>
      <c r="D5" s="16" t="s">
        <v>1785</v>
      </c>
      <c r="E5" s="16" t="s">
        <v>1786</v>
      </c>
      <c r="F5" s="16" t="s">
        <v>40</v>
      </c>
      <c r="G5" s="17">
        <v>2760</v>
      </c>
      <c r="H5" s="17">
        <v>40</v>
      </c>
      <c r="I5" s="17">
        <f t="shared" si="0"/>
        <v>2720</v>
      </c>
      <c r="J5" s="16" t="s">
        <v>1779</v>
      </c>
      <c r="K5" s="16" t="s">
        <v>32</v>
      </c>
      <c r="L5" s="16" t="s">
        <v>1780</v>
      </c>
      <c r="M5" s="18" t="s">
        <v>55</v>
      </c>
      <c r="N5" s="16"/>
      <c r="O5" s="16"/>
      <c r="P5" s="16"/>
      <c r="Q5" s="16">
        <v>1</v>
      </c>
      <c r="R5" s="10">
        <f>H5</f>
        <v>40</v>
      </c>
    </row>
    <row r="6" spans="1:18" x14ac:dyDescent="0.25">
      <c r="A6" s="16"/>
      <c r="B6" s="16" t="s">
        <v>26</v>
      </c>
      <c r="C6" s="16" t="s">
        <v>1787</v>
      </c>
      <c r="D6" s="16" t="s">
        <v>1788</v>
      </c>
      <c r="E6" s="16" t="s">
        <v>1789</v>
      </c>
      <c r="F6" s="16" t="s">
        <v>51</v>
      </c>
      <c r="G6" s="17">
        <v>860</v>
      </c>
      <c r="H6" s="17">
        <v>30</v>
      </c>
      <c r="I6" s="17">
        <f t="shared" si="0"/>
        <v>830</v>
      </c>
      <c r="J6" s="16" t="s">
        <v>1779</v>
      </c>
      <c r="K6" s="16" t="s">
        <v>32</v>
      </c>
      <c r="L6" s="16" t="s">
        <v>1780</v>
      </c>
      <c r="M6" s="16"/>
      <c r="N6" s="16"/>
      <c r="O6" s="16"/>
      <c r="P6" s="16"/>
      <c r="Q6" s="16">
        <v>1</v>
      </c>
    </row>
    <row r="7" spans="1:18" x14ac:dyDescent="0.25">
      <c r="A7" s="16"/>
      <c r="B7" s="16" t="s">
        <v>26</v>
      </c>
      <c r="C7" s="16" t="s">
        <v>1790</v>
      </c>
      <c r="D7" s="16" t="s">
        <v>1791</v>
      </c>
      <c r="E7" s="16" t="s">
        <v>1792</v>
      </c>
      <c r="F7" s="17">
        <v>9</v>
      </c>
      <c r="G7" s="17">
        <v>0</v>
      </c>
      <c r="H7" s="17">
        <v>30</v>
      </c>
      <c r="I7" s="17">
        <f t="shared" si="0"/>
        <v>-30</v>
      </c>
      <c r="J7" s="16" t="s">
        <v>1779</v>
      </c>
      <c r="K7" s="16" t="s">
        <v>32</v>
      </c>
      <c r="L7" s="16" t="s">
        <v>1780</v>
      </c>
      <c r="M7" s="16"/>
      <c r="N7" s="16"/>
      <c r="O7" s="16"/>
      <c r="P7" s="16"/>
      <c r="Q7" s="16">
        <v>1</v>
      </c>
      <c r="R7" s="10">
        <f>H7</f>
        <v>30</v>
      </c>
    </row>
    <row r="8" spans="1:18" x14ac:dyDescent="0.25">
      <c r="A8" s="16"/>
      <c r="B8" s="16" t="s">
        <v>26</v>
      </c>
      <c r="C8" s="16" t="s">
        <v>1793</v>
      </c>
      <c r="D8" s="16" t="s">
        <v>1794</v>
      </c>
      <c r="E8" s="16" t="s">
        <v>1795</v>
      </c>
      <c r="F8" s="17">
        <v>6</v>
      </c>
      <c r="G8" s="17">
        <v>695</v>
      </c>
      <c r="H8" s="17">
        <v>25</v>
      </c>
      <c r="I8" s="17">
        <f t="shared" si="0"/>
        <v>670</v>
      </c>
      <c r="J8" s="16" t="s">
        <v>1779</v>
      </c>
      <c r="K8" s="16" t="s">
        <v>32</v>
      </c>
      <c r="L8" s="16" t="s">
        <v>1780</v>
      </c>
      <c r="M8" s="16"/>
      <c r="N8" s="16"/>
      <c r="O8" s="16"/>
      <c r="P8" s="16"/>
      <c r="Q8" s="16">
        <v>1</v>
      </c>
    </row>
    <row r="9" spans="1:18" x14ac:dyDescent="0.25">
      <c r="A9" s="16"/>
      <c r="B9" s="16" t="s">
        <v>26</v>
      </c>
      <c r="C9" s="16" t="s">
        <v>1796</v>
      </c>
      <c r="D9" s="16" t="s">
        <v>1797</v>
      </c>
      <c r="E9" s="16" t="s">
        <v>1798</v>
      </c>
      <c r="F9" s="16" t="s">
        <v>51</v>
      </c>
      <c r="G9" s="17">
        <v>0</v>
      </c>
      <c r="H9" s="17">
        <v>30</v>
      </c>
      <c r="I9" s="17">
        <f t="shared" si="0"/>
        <v>-30</v>
      </c>
      <c r="J9" s="16" t="s">
        <v>1779</v>
      </c>
      <c r="K9" s="16" t="s">
        <v>32</v>
      </c>
      <c r="L9" s="16" t="s">
        <v>1780</v>
      </c>
      <c r="M9" s="16"/>
      <c r="N9" s="16"/>
      <c r="O9" s="16"/>
      <c r="P9" s="16"/>
      <c r="Q9" s="16">
        <v>1</v>
      </c>
      <c r="R9" s="10">
        <f>H9</f>
        <v>30</v>
      </c>
    </row>
    <row r="10" spans="1:18" x14ac:dyDescent="0.25">
      <c r="A10" s="16"/>
      <c r="B10" s="16" t="s">
        <v>26</v>
      </c>
      <c r="C10" s="16" t="s">
        <v>1799</v>
      </c>
      <c r="D10" s="16" t="s">
        <v>1800</v>
      </c>
      <c r="E10" s="16" t="s">
        <v>1801</v>
      </c>
      <c r="F10" s="17">
        <v>8</v>
      </c>
      <c r="G10" s="17">
        <v>690</v>
      </c>
      <c r="H10" s="17">
        <v>30</v>
      </c>
      <c r="I10" s="17">
        <f t="shared" si="0"/>
        <v>660</v>
      </c>
      <c r="J10" s="16" t="s">
        <v>1779</v>
      </c>
      <c r="K10" s="16" t="s">
        <v>32</v>
      </c>
      <c r="L10" s="16" t="s">
        <v>1780</v>
      </c>
      <c r="M10" s="16"/>
      <c r="N10" s="16"/>
      <c r="O10" s="16"/>
      <c r="P10" s="16"/>
      <c r="Q10" s="16">
        <v>1</v>
      </c>
    </row>
    <row r="11" spans="1:18" x14ac:dyDescent="0.25">
      <c r="A11" s="16"/>
      <c r="B11" s="16" t="s">
        <v>26</v>
      </c>
      <c r="C11" s="16" t="s">
        <v>1802</v>
      </c>
      <c r="D11" s="16" t="s">
        <v>1803</v>
      </c>
      <c r="E11" s="16" t="s">
        <v>1804</v>
      </c>
      <c r="F11" s="17">
        <v>6</v>
      </c>
      <c r="G11" s="17">
        <v>1910</v>
      </c>
      <c r="H11" s="17">
        <v>25</v>
      </c>
      <c r="I11" s="17">
        <f t="shared" si="0"/>
        <v>1885</v>
      </c>
      <c r="J11" s="16" t="s">
        <v>1779</v>
      </c>
      <c r="K11" s="16" t="s">
        <v>32</v>
      </c>
      <c r="L11" s="16" t="s">
        <v>1780</v>
      </c>
      <c r="M11" s="18" t="s">
        <v>55</v>
      </c>
      <c r="N11" s="16"/>
      <c r="O11" s="16"/>
      <c r="P11" s="16"/>
      <c r="Q11" s="16">
        <v>1</v>
      </c>
      <c r="R11" s="10">
        <f>H11</f>
        <v>25</v>
      </c>
    </row>
    <row r="12" spans="1:18" x14ac:dyDescent="0.25">
      <c r="A12" s="16"/>
      <c r="B12" s="16" t="s">
        <v>26</v>
      </c>
      <c r="C12" s="16" t="s">
        <v>1805</v>
      </c>
      <c r="D12" s="16" t="s">
        <v>1806</v>
      </c>
      <c r="E12" s="16" t="s">
        <v>1807</v>
      </c>
      <c r="F12" s="16" t="s">
        <v>30</v>
      </c>
      <c r="G12" s="17">
        <v>435</v>
      </c>
      <c r="H12" s="17">
        <v>25</v>
      </c>
      <c r="I12" s="17">
        <f t="shared" si="0"/>
        <v>410</v>
      </c>
      <c r="J12" s="16" t="s">
        <v>1779</v>
      </c>
      <c r="K12" s="16" t="s">
        <v>32</v>
      </c>
      <c r="L12" s="16" t="s">
        <v>1780</v>
      </c>
      <c r="M12" s="16"/>
      <c r="N12" s="16"/>
      <c r="O12" s="16"/>
      <c r="P12" s="16"/>
      <c r="Q12" s="16">
        <v>1</v>
      </c>
    </row>
    <row r="13" spans="1:18" x14ac:dyDescent="0.25">
      <c r="A13" s="16"/>
      <c r="B13" s="16" t="s">
        <v>26</v>
      </c>
      <c r="C13" s="16" t="s">
        <v>1808</v>
      </c>
      <c r="D13" s="16" t="s">
        <v>1809</v>
      </c>
      <c r="E13" s="16" t="s">
        <v>1810</v>
      </c>
      <c r="F13" s="16" t="s">
        <v>40</v>
      </c>
      <c r="G13" s="17">
        <v>0</v>
      </c>
      <c r="H13" s="17">
        <v>35</v>
      </c>
      <c r="I13" s="17">
        <f t="shared" si="0"/>
        <v>-35</v>
      </c>
      <c r="J13" s="16" t="s">
        <v>1779</v>
      </c>
      <c r="K13" s="16" t="s">
        <v>32</v>
      </c>
      <c r="L13" s="16" t="s">
        <v>1780</v>
      </c>
      <c r="M13" s="16"/>
      <c r="N13" s="16"/>
      <c r="O13" s="16"/>
      <c r="P13" s="16"/>
      <c r="Q13" s="16">
        <v>1</v>
      </c>
      <c r="R13" s="10">
        <f>H13</f>
        <v>35</v>
      </c>
    </row>
    <row r="14" spans="1:18" x14ac:dyDescent="0.25">
      <c r="A14" s="16"/>
      <c r="B14" s="16" t="s">
        <v>26</v>
      </c>
      <c r="C14" s="16" t="s">
        <v>956</v>
      </c>
      <c r="D14" s="16" t="s">
        <v>1811</v>
      </c>
      <c r="E14" s="16" t="s">
        <v>958</v>
      </c>
      <c r="F14" s="17">
        <v>9</v>
      </c>
      <c r="G14" s="17">
        <v>690</v>
      </c>
      <c r="H14" s="17">
        <v>30</v>
      </c>
      <c r="I14" s="17">
        <f t="shared" si="0"/>
        <v>660</v>
      </c>
      <c r="J14" s="16" t="s">
        <v>1779</v>
      </c>
      <c r="K14" s="16" t="s">
        <v>32</v>
      </c>
      <c r="L14" s="16" t="s">
        <v>1780</v>
      </c>
      <c r="M14" s="16"/>
      <c r="N14" s="16"/>
      <c r="O14" s="16"/>
      <c r="P14" s="16"/>
      <c r="Q14" s="16">
        <v>1</v>
      </c>
    </row>
    <row r="15" spans="1:18" x14ac:dyDescent="0.25">
      <c r="A15" s="16"/>
      <c r="B15" s="16" t="s">
        <v>26</v>
      </c>
      <c r="C15" s="16" t="s">
        <v>1812</v>
      </c>
      <c r="D15" s="16" t="s">
        <v>1813</v>
      </c>
      <c r="E15" s="16" t="s">
        <v>1814</v>
      </c>
      <c r="F15" s="17">
        <v>11</v>
      </c>
      <c r="G15" s="17">
        <v>0</v>
      </c>
      <c r="H15" s="17">
        <v>25</v>
      </c>
      <c r="I15" s="17">
        <f t="shared" si="0"/>
        <v>-25</v>
      </c>
      <c r="J15" s="16" t="s">
        <v>1779</v>
      </c>
      <c r="K15" s="16" t="s">
        <v>32</v>
      </c>
      <c r="L15" s="16" t="s">
        <v>1780</v>
      </c>
      <c r="M15" s="16"/>
      <c r="N15" s="16"/>
      <c r="O15" s="16"/>
      <c r="P15" s="16"/>
      <c r="Q15" s="16">
        <v>1</v>
      </c>
      <c r="R15" s="10">
        <f>H15</f>
        <v>25</v>
      </c>
    </row>
    <row r="16" spans="1:18" x14ac:dyDescent="0.25">
      <c r="A16" s="16" t="s">
        <v>141</v>
      </c>
      <c r="B16" s="16" t="s">
        <v>26</v>
      </c>
      <c r="C16" s="16" t="s">
        <v>1815</v>
      </c>
      <c r="D16" s="16"/>
      <c r="E16" s="16" t="s">
        <v>1816</v>
      </c>
      <c r="F16" s="16" t="s">
        <v>30</v>
      </c>
      <c r="G16" s="17">
        <v>0</v>
      </c>
      <c r="H16" s="17">
        <v>30</v>
      </c>
      <c r="I16" s="17">
        <f t="shared" si="0"/>
        <v>-30</v>
      </c>
      <c r="J16" s="16" t="s">
        <v>1779</v>
      </c>
      <c r="K16" s="16" t="s">
        <v>32</v>
      </c>
      <c r="L16" s="16" t="s">
        <v>1780</v>
      </c>
      <c r="M16" s="16"/>
      <c r="N16" s="16"/>
      <c r="O16" s="16"/>
      <c r="P16" s="16"/>
      <c r="Q16" s="16">
        <v>1</v>
      </c>
      <c r="R16" s="10">
        <f>H16</f>
        <v>30</v>
      </c>
    </row>
    <row r="17" spans="1:18" x14ac:dyDescent="0.25">
      <c r="A17" s="16"/>
      <c r="B17" s="16" t="s">
        <v>26</v>
      </c>
      <c r="C17" s="16" t="s">
        <v>1817</v>
      </c>
      <c r="D17" s="16" t="s">
        <v>1818</v>
      </c>
      <c r="E17" s="16" t="s">
        <v>1819</v>
      </c>
      <c r="F17" s="16" t="s">
        <v>89</v>
      </c>
      <c r="G17" s="17">
        <v>690</v>
      </c>
      <c r="H17" s="17">
        <v>30</v>
      </c>
      <c r="I17" s="17">
        <f t="shared" si="0"/>
        <v>660</v>
      </c>
      <c r="J17" s="16" t="s">
        <v>32</v>
      </c>
      <c r="K17" s="16" t="s">
        <v>32</v>
      </c>
      <c r="L17" s="16" t="s">
        <v>1780</v>
      </c>
      <c r="M17" s="16"/>
      <c r="N17" s="16"/>
      <c r="O17" s="16"/>
      <c r="P17" s="16"/>
      <c r="Q17" s="16">
        <v>1</v>
      </c>
    </row>
    <row r="18" spans="1:18" x14ac:dyDescent="0.25">
      <c r="A18" s="16"/>
      <c r="B18" s="16" t="s">
        <v>26</v>
      </c>
      <c r="C18" s="16" t="s">
        <v>1820</v>
      </c>
      <c r="D18" s="16" t="s">
        <v>1821</v>
      </c>
      <c r="E18" s="16" t="s">
        <v>1822</v>
      </c>
      <c r="F18" s="16" t="s">
        <v>82</v>
      </c>
      <c r="G18" s="17">
        <v>2350</v>
      </c>
      <c r="H18" s="17">
        <v>30</v>
      </c>
      <c r="I18" s="17">
        <f t="shared" si="0"/>
        <v>2320</v>
      </c>
      <c r="J18" s="16" t="s">
        <v>32</v>
      </c>
      <c r="K18" s="16" t="s">
        <v>32</v>
      </c>
      <c r="L18" s="16" t="s">
        <v>1780</v>
      </c>
      <c r="M18" s="18" t="s">
        <v>55</v>
      </c>
      <c r="N18" s="16"/>
      <c r="O18" s="16"/>
      <c r="P18" s="16"/>
      <c r="Q18" s="16">
        <v>1</v>
      </c>
      <c r="R18" s="10">
        <f>H18</f>
        <v>30</v>
      </c>
    </row>
    <row r="19" spans="1:18" x14ac:dyDescent="0.25">
      <c r="A19" s="16"/>
      <c r="B19" s="16" t="s">
        <v>26</v>
      </c>
      <c r="C19" s="16" t="s">
        <v>1823</v>
      </c>
      <c r="D19" s="16" t="s">
        <v>1824</v>
      </c>
      <c r="E19" s="16" t="s">
        <v>1825</v>
      </c>
      <c r="F19" s="16" t="s">
        <v>89</v>
      </c>
      <c r="G19" s="17">
        <v>0</v>
      </c>
      <c r="H19" s="17">
        <v>30</v>
      </c>
      <c r="I19" s="17">
        <f t="shared" si="0"/>
        <v>-30</v>
      </c>
      <c r="J19" s="16" t="s">
        <v>32</v>
      </c>
      <c r="K19" s="16" t="s">
        <v>32</v>
      </c>
      <c r="L19" s="16" t="s">
        <v>1780</v>
      </c>
      <c r="M19" s="18" t="s">
        <v>288</v>
      </c>
      <c r="N19" s="16"/>
      <c r="O19" s="16"/>
      <c r="P19" s="16"/>
      <c r="Q19" s="16">
        <v>1</v>
      </c>
      <c r="R19" s="10">
        <f>H19</f>
        <v>30</v>
      </c>
    </row>
    <row r="20" spans="1:18" x14ac:dyDescent="0.25">
      <c r="A20" s="16"/>
      <c r="B20" s="16" t="s">
        <v>26</v>
      </c>
      <c r="C20" s="16" t="s">
        <v>1826</v>
      </c>
      <c r="D20" s="16" t="s">
        <v>1827</v>
      </c>
      <c r="E20" s="16" t="s">
        <v>1825</v>
      </c>
      <c r="F20" s="16" t="s">
        <v>89</v>
      </c>
      <c r="G20" s="17">
        <v>0</v>
      </c>
      <c r="H20" s="17">
        <v>0</v>
      </c>
      <c r="I20" s="17">
        <f t="shared" si="0"/>
        <v>0</v>
      </c>
      <c r="J20" s="16" t="s">
        <v>32</v>
      </c>
      <c r="K20" s="16" t="s">
        <v>32</v>
      </c>
      <c r="L20" s="16" t="s">
        <v>1780</v>
      </c>
      <c r="M20" s="18" t="s">
        <v>288</v>
      </c>
      <c r="N20" s="16"/>
      <c r="O20" s="16"/>
      <c r="P20" s="16"/>
      <c r="Q20" s="16">
        <v>1</v>
      </c>
      <c r="R20" s="10">
        <f>H20</f>
        <v>0</v>
      </c>
    </row>
    <row r="21" spans="1:18" x14ac:dyDescent="0.25">
      <c r="A21" s="16"/>
      <c r="B21" s="16" t="s">
        <v>26</v>
      </c>
      <c r="C21" s="16" t="s">
        <v>1828</v>
      </c>
      <c r="D21" s="16" t="s">
        <v>1829</v>
      </c>
      <c r="E21" s="16" t="s">
        <v>1830</v>
      </c>
      <c r="F21" s="17">
        <v>12</v>
      </c>
      <c r="G21" s="17">
        <v>690</v>
      </c>
      <c r="H21" s="17">
        <v>30</v>
      </c>
      <c r="I21" s="17">
        <f t="shared" si="0"/>
        <v>660</v>
      </c>
      <c r="J21" s="16" t="s">
        <v>32</v>
      </c>
      <c r="K21" s="16" t="s">
        <v>32</v>
      </c>
      <c r="L21" s="16" t="s">
        <v>1780</v>
      </c>
      <c r="M21" s="16"/>
      <c r="N21" s="16"/>
      <c r="O21" s="16"/>
      <c r="P21" s="16"/>
      <c r="Q21" s="16">
        <v>1</v>
      </c>
    </row>
    <row r="22" spans="1:18" x14ac:dyDescent="0.25">
      <c r="A22" s="16"/>
      <c r="B22" s="16" t="s">
        <v>26</v>
      </c>
      <c r="C22" s="16" t="s">
        <v>1831</v>
      </c>
      <c r="D22" s="16" t="s">
        <v>1832</v>
      </c>
      <c r="E22" s="16" t="s">
        <v>1833</v>
      </c>
      <c r="F22" s="16" t="s">
        <v>82</v>
      </c>
      <c r="G22" s="17">
        <v>705</v>
      </c>
      <c r="H22" s="17">
        <v>25</v>
      </c>
      <c r="I22" s="17">
        <f t="shared" si="0"/>
        <v>680</v>
      </c>
      <c r="J22" s="16" t="s">
        <v>32</v>
      </c>
      <c r="K22" s="16" t="s">
        <v>32</v>
      </c>
      <c r="L22" s="16" t="s">
        <v>1780</v>
      </c>
      <c r="M22" s="16"/>
      <c r="N22" s="16"/>
      <c r="O22" s="16"/>
      <c r="P22" s="16"/>
      <c r="Q22" s="16">
        <v>1</v>
      </c>
    </row>
    <row r="23" spans="1:18" x14ac:dyDescent="0.25">
      <c r="A23" s="16"/>
      <c r="B23" s="16" t="s">
        <v>26</v>
      </c>
      <c r="C23" s="16" t="s">
        <v>79</v>
      </c>
      <c r="D23" s="16" t="s">
        <v>1834</v>
      </c>
      <c r="E23" s="16" t="s">
        <v>81</v>
      </c>
      <c r="F23" s="16" t="s">
        <v>82</v>
      </c>
      <c r="G23" s="17">
        <v>795</v>
      </c>
      <c r="H23" s="17">
        <v>25</v>
      </c>
      <c r="I23" s="17">
        <f t="shared" si="0"/>
        <v>770</v>
      </c>
      <c r="J23" s="16" t="s">
        <v>32</v>
      </c>
      <c r="K23" s="16" t="s">
        <v>32</v>
      </c>
      <c r="L23" s="16" t="s">
        <v>1780</v>
      </c>
      <c r="M23" s="16"/>
      <c r="N23" s="16"/>
      <c r="O23" s="16"/>
      <c r="P23" s="16"/>
      <c r="Q23" s="16">
        <v>1</v>
      </c>
    </row>
    <row r="24" spans="1:18" x14ac:dyDescent="0.25">
      <c r="A24" s="16"/>
      <c r="B24" s="16" t="s">
        <v>26</v>
      </c>
      <c r="C24" s="16" t="s">
        <v>1835</v>
      </c>
      <c r="D24" s="16" t="s">
        <v>1836</v>
      </c>
      <c r="E24" s="16" t="s">
        <v>1837</v>
      </c>
      <c r="F24" s="16" t="s">
        <v>82</v>
      </c>
      <c r="G24" s="17">
        <v>515</v>
      </c>
      <c r="H24" s="17">
        <v>25</v>
      </c>
      <c r="I24" s="17">
        <f t="shared" si="0"/>
        <v>490</v>
      </c>
      <c r="J24" s="16" t="s">
        <v>32</v>
      </c>
      <c r="K24" s="16" t="s">
        <v>32</v>
      </c>
      <c r="L24" s="16" t="s">
        <v>1780</v>
      </c>
      <c r="M24" s="16"/>
      <c r="N24" s="16"/>
      <c r="O24" s="16"/>
      <c r="P24" s="16"/>
      <c r="Q24" s="16">
        <v>1</v>
      </c>
    </row>
    <row r="25" spans="1:18" x14ac:dyDescent="0.25">
      <c r="A25" s="16"/>
      <c r="B25" s="16" t="s">
        <v>26</v>
      </c>
      <c r="C25" s="16" t="s">
        <v>764</v>
      </c>
      <c r="D25" s="16" t="s">
        <v>1838</v>
      </c>
      <c r="E25" s="16" t="s">
        <v>1839</v>
      </c>
      <c r="F25" s="16" t="s">
        <v>75</v>
      </c>
      <c r="G25" s="17">
        <v>1110</v>
      </c>
      <c r="H25" s="17">
        <v>20</v>
      </c>
      <c r="I25" s="17">
        <f t="shared" si="0"/>
        <v>1090</v>
      </c>
      <c r="J25" s="16" t="s">
        <v>32</v>
      </c>
      <c r="K25" s="16" t="s">
        <v>32</v>
      </c>
      <c r="L25" s="16" t="s">
        <v>1780</v>
      </c>
      <c r="M25" s="16"/>
      <c r="N25" s="16"/>
      <c r="O25" s="16"/>
      <c r="P25" s="16"/>
      <c r="Q25" s="16">
        <v>1</v>
      </c>
    </row>
    <row r="26" spans="1:18" x14ac:dyDescent="0.25">
      <c r="A26" s="16"/>
      <c r="B26" s="16" t="s">
        <v>26</v>
      </c>
      <c r="C26" s="16" t="s">
        <v>1840</v>
      </c>
      <c r="D26" s="16" t="s">
        <v>1841</v>
      </c>
      <c r="E26" s="16" t="s">
        <v>1842</v>
      </c>
      <c r="F26" s="17">
        <v>12</v>
      </c>
      <c r="G26" s="17">
        <v>0</v>
      </c>
      <c r="H26" s="17">
        <v>30</v>
      </c>
      <c r="I26" s="17">
        <f t="shared" si="0"/>
        <v>-30</v>
      </c>
      <c r="J26" s="16" t="s">
        <v>32</v>
      </c>
      <c r="K26" s="16" t="s">
        <v>32</v>
      </c>
      <c r="L26" s="16" t="s">
        <v>1780</v>
      </c>
      <c r="M26" s="18" t="s">
        <v>1843</v>
      </c>
      <c r="N26" s="16"/>
      <c r="O26" s="16"/>
      <c r="P26" s="16"/>
      <c r="Q26" s="16">
        <v>1</v>
      </c>
      <c r="R26" s="10">
        <f>H26</f>
        <v>30</v>
      </c>
    </row>
    <row r="27" spans="1:18" x14ac:dyDescent="0.25">
      <c r="A27" s="16"/>
      <c r="B27" s="16" t="s">
        <v>26</v>
      </c>
      <c r="C27" s="16" t="s">
        <v>1844</v>
      </c>
      <c r="D27" s="16" t="s">
        <v>1845</v>
      </c>
      <c r="E27" s="16" t="s">
        <v>1846</v>
      </c>
      <c r="F27" s="16" t="s">
        <v>75</v>
      </c>
      <c r="G27" s="17">
        <v>20</v>
      </c>
      <c r="H27" s="17">
        <v>20</v>
      </c>
      <c r="I27" s="17">
        <f t="shared" si="0"/>
        <v>0</v>
      </c>
      <c r="J27" s="16" t="s">
        <v>32</v>
      </c>
      <c r="K27" s="16" t="s">
        <v>32</v>
      </c>
      <c r="L27" s="16" t="s">
        <v>1780</v>
      </c>
      <c r="M27" s="16"/>
      <c r="N27" s="16"/>
      <c r="O27" s="16"/>
      <c r="P27" s="16"/>
      <c r="Q27" s="16">
        <v>1</v>
      </c>
    </row>
    <row r="28" spans="1:18" x14ac:dyDescent="0.25">
      <c r="A28" s="16"/>
      <c r="B28" s="16" t="s">
        <v>26</v>
      </c>
      <c r="C28" s="16" t="s">
        <v>877</v>
      </c>
      <c r="D28" s="16" t="s">
        <v>1847</v>
      </c>
      <c r="E28" s="16" t="s">
        <v>879</v>
      </c>
      <c r="F28" s="16" t="s">
        <v>82</v>
      </c>
      <c r="G28" s="17">
        <v>1685</v>
      </c>
      <c r="H28" s="17">
        <v>25</v>
      </c>
      <c r="I28" s="17">
        <f t="shared" si="0"/>
        <v>1660</v>
      </c>
      <c r="J28" s="16" t="s">
        <v>32</v>
      </c>
      <c r="K28" s="16" t="s">
        <v>32</v>
      </c>
      <c r="L28" s="16" t="s">
        <v>1780</v>
      </c>
      <c r="M28" s="16"/>
      <c r="N28" s="16"/>
      <c r="O28" s="16"/>
      <c r="P28" s="16"/>
      <c r="Q28" s="16">
        <v>1</v>
      </c>
    </row>
    <row r="29" spans="1:18" x14ac:dyDescent="0.25">
      <c r="A29" s="16"/>
      <c r="B29" s="16" t="s">
        <v>26</v>
      </c>
      <c r="C29" s="16" t="s">
        <v>1848</v>
      </c>
      <c r="D29" s="16" t="s">
        <v>1849</v>
      </c>
      <c r="E29" s="16" t="s">
        <v>1850</v>
      </c>
      <c r="F29" s="16" t="s">
        <v>82</v>
      </c>
      <c r="G29" s="17">
        <v>2710</v>
      </c>
      <c r="H29" s="17">
        <v>30</v>
      </c>
      <c r="I29" s="17">
        <f t="shared" si="0"/>
        <v>2680</v>
      </c>
      <c r="J29" s="16" t="s">
        <v>32</v>
      </c>
      <c r="K29" s="16" t="s">
        <v>32</v>
      </c>
      <c r="L29" s="16" t="s">
        <v>1780</v>
      </c>
      <c r="M29" s="18" t="s">
        <v>55</v>
      </c>
      <c r="N29" s="16"/>
      <c r="O29" s="16"/>
      <c r="P29" s="16"/>
      <c r="Q29" s="16">
        <v>1</v>
      </c>
      <c r="R29" s="10">
        <f>H29</f>
        <v>30</v>
      </c>
    </row>
    <row r="30" spans="1:18" x14ac:dyDescent="0.25">
      <c r="A30" s="16"/>
      <c r="B30" s="16" t="s">
        <v>26</v>
      </c>
      <c r="C30" s="16" t="s">
        <v>1851</v>
      </c>
      <c r="D30" s="16" t="s">
        <v>1852</v>
      </c>
      <c r="E30" s="16" t="s">
        <v>1853</v>
      </c>
      <c r="F30" s="17">
        <v>12</v>
      </c>
      <c r="G30" s="17">
        <v>690</v>
      </c>
      <c r="H30" s="17">
        <v>30</v>
      </c>
      <c r="I30" s="17">
        <f t="shared" si="0"/>
        <v>660</v>
      </c>
      <c r="J30" s="16" t="s">
        <v>32</v>
      </c>
      <c r="K30" s="16" t="s">
        <v>32</v>
      </c>
      <c r="L30" s="16" t="s">
        <v>1780</v>
      </c>
      <c r="M30" s="16"/>
      <c r="N30" s="16"/>
      <c r="O30" s="16"/>
      <c r="P30" s="16"/>
      <c r="Q30" s="16">
        <v>1</v>
      </c>
    </row>
    <row r="31" spans="1:18" x14ac:dyDescent="0.25">
      <c r="A31" s="16"/>
      <c r="B31" s="16" t="s">
        <v>26</v>
      </c>
      <c r="C31" s="16" t="s">
        <v>1854</v>
      </c>
      <c r="D31" s="16" t="s">
        <v>1855</v>
      </c>
      <c r="E31" s="16" t="s">
        <v>1856</v>
      </c>
      <c r="F31" s="17">
        <v>2</v>
      </c>
      <c r="G31" s="17">
        <v>650</v>
      </c>
      <c r="H31" s="17">
        <v>30</v>
      </c>
      <c r="I31" s="17">
        <f t="shared" si="0"/>
        <v>620</v>
      </c>
      <c r="J31" s="16" t="s">
        <v>32</v>
      </c>
      <c r="K31" s="16" t="s">
        <v>32</v>
      </c>
      <c r="L31" s="16" t="s">
        <v>1780</v>
      </c>
      <c r="M31" s="16"/>
      <c r="N31" s="16"/>
      <c r="O31" s="16"/>
      <c r="P31" s="16"/>
      <c r="Q31" s="16">
        <v>1</v>
      </c>
    </row>
    <row r="32" spans="1:18" x14ac:dyDescent="0.25">
      <c r="A32" s="16" t="s">
        <v>141</v>
      </c>
      <c r="B32" s="16" t="s">
        <v>26</v>
      </c>
      <c r="C32" s="16" t="s">
        <v>1857</v>
      </c>
      <c r="D32" s="16"/>
      <c r="E32" s="16" t="s">
        <v>742</v>
      </c>
      <c r="F32" s="17">
        <v>12</v>
      </c>
      <c r="G32" s="17">
        <v>0</v>
      </c>
      <c r="H32" s="17">
        <v>35</v>
      </c>
      <c r="I32" s="17">
        <f t="shared" si="0"/>
        <v>-35</v>
      </c>
      <c r="J32" s="16" t="s">
        <v>32</v>
      </c>
      <c r="K32" s="16" t="s">
        <v>32</v>
      </c>
      <c r="L32" s="16" t="s">
        <v>1780</v>
      </c>
      <c r="M32" s="16"/>
      <c r="N32" s="16"/>
      <c r="O32" s="16"/>
      <c r="P32" s="16"/>
      <c r="Q32" s="16">
        <v>1</v>
      </c>
      <c r="R32" s="10">
        <f>H32</f>
        <v>35</v>
      </c>
    </row>
    <row r="33" spans="1:18" x14ac:dyDescent="0.25">
      <c r="A33" s="16" t="s">
        <v>141</v>
      </c>
      <c r="B33" s="16" t="s">
        <v>26</v>
      </c>
      <c r="C33" s="16" t="s">
        <v>1426</v>
      </c>
      <c r="D33" s="16"/>
      <c r="E33" s="16" t="s">
        <v>1678</v>
      </c>
      <c r="F33" s="16" t="s">
        <v>82</v>
      </c>
      <c r="G33" s="17">
        <v>30</v>
      </c>
      <c r="H33" s="17">
        <v>30</v>
      </c>
      <c r="I33" s="17">
        <f t="shared" si="0"/>
        <v>0</v>
      </c>
      <c r="J33" s="16" t="s">
        <v>32</v>
      </c>
      <c r="K33" s="16" t="s">
        <v>32</v>
      </c>
      <c r="L33" s="16" t="s">
        <v>1780</v>
      </c>
      <c r="M33" s="16"/>
      <c r="N33" s="16"/>
      <c r="O33" s="16"/>
      <c r="P33" s="16"/>
      <c r="Q33" s="16">
        <v>1</v>
      </c>
    </row>
    <row r="34" spans="1:18" x14ac:dyDescent="0.25">
      <c r="A34" s="16"/>
      <c r="B34" s="16" t="s">
        <v>26</v>
      </c>
      <c r="C34" s="16" t="s">
        <v>114</v>
      </c>
      <c r="D34" s="16" t="s">
        <v>1858</v>
      </c>
      <c r="E34" s="16" t="s">
        <v>116</v>
      </c>
      <c r="F34" s="17">
        <v>5</v>
      </c>
      <c r="G34" s="17">
        <v>795</v>
      </c>
      <c r="H34" s="17">
        <v>25</v>
      </c>
      <c r="I34" s="17">
        <f t="shared" si="0"/>
        <v>770</v>
      </c>
      <c r="J34" s="16" t="s">
        <v>103</v>
      </c>
      <c r="K34" s="16" t="s">
        <v>32</v>
      </c>
      <c r="L34" s="16" t="s">
        <v>1780</v>
      </c>
      <c r="M34" s="16"/>
      <c r="N34" s="16"/>
      <c r="O34" s="16"/>
      <c r="P34" s="16"/>
      <c r="Q34" s="16">
        <v>1</v>
      </c>
    </row>
    <row r="35" spans="1:18" x14ac:dyDescent="0.25">
      <c r="A35" s="16"/>
      <c r="B35" s="16" t="s">
        <v>26</v>
      </c>
      <c r="C35" s="16" t="s">
        <v>1859</v>
      </c>
      <c r="D35" s="16" t="s">
        <v>1860</v>
      </c>
      <c r="E35" s="16" t="s">
        <v>1861</v>
      </c>
      <c r="F35" s="17">
        <v>10</v>
      </c>
      <c r="G35" s="17">
        <v>535</v>
      </c>
      <c r="H35" s="17">
        <v>25</v>
      </c>
      <c r="I35" s="17">
        <f t="shared" si="0"/>
        <v>510</v>
      </c>
      <c r="J35" s="16" t="s">
        <v>103</v>
      </c>
      <c r="K35" s="16" t="s">
        <v>32</v>
      </c>
      <c r="L35" s="16" t="s">
        <v>1780</v>
      </c>
      <c r="M35" s="16"/>
      <c r="N35" s="16"/>
      <c r="O35" s="16"/>
      <c r="P35" s="16"/>
      <c r="Q35" s="16">
        <v>1</v>
      </c>
    </row>
    <row r="36" spans="1:18" x14ac:dyDescent="0.25">
      <c r="A36" s="16"/>
      <c r="B36" s="16" t="s">
        <v>26</v>
      </c>
      <c r="C36" s="16" t="s">
        <v>1331</v>
      </c>
      <c r="D36" s="16" t="s">
        <v>1862</v>
      </c>
      <c r="E36" s="16" t="s">
        <v>1863</v>
      </c>
      <c r="F36" s="17">
        <v>10</v>
      </c>
      <c r="G36" s="17">
        <v>545</v>
      </c>
      <c r="H36" s="17">
        <v>25</v>
      </c>
      <c r="I36" s="17">
        <f t="shared" si="0"/>
        <v>520</v>
      </c>
      <c r="J36" s="16" t="s">
        <v>103</v>
      </c>
      <c r="K36" s="16" t="s">
        <v>32</v>
      </c>
      <c r="L36" s="16" t="s">
        <v>1780</v>
      </c>
      <c r="M36" s="16"/>
      <c r="N36" s="16"/>
      <c r="O36" s="16"/>
      <c r="P36" s="16"/>
      <c r="Q36" s="16">
        <v>1</v>
      </c>
    </row>
    <row r="37" spans="1:18" x14ac:dyDescent="0.25">
      <c r="A37" s="16"/>
      <c r="B37" s="16" t="s">
        <v>26</v>
      </c>
      <c r="C37" s="16" t="s">
        <v>240</v>
      </c>
      <c r="D37" s="16" t="s">
        <v>1864</v>
      </c>
      <c r="E37" s="16" t="s">
        <v>242</v>
      </c>
      <c r="F37" s="16" t="s">
        <v>243</v>
      </c>
      <c r="G37" s="17">
        <v>925</v>
      </c>
      <c r="H37" s="17">
        <v>35</v>
      </c>
      <c r="I37" s="17">
        <f t="shared" si="0"/>
        <v>890</v>
      </c>
      <c r="J37" s="16" t="s">
        <v>103</v>
      </c>
      <c r="K37" s="16" t="s">
        <v>32</v>
      </c>
      <c r="L37" s="16" t="s">
        <v>1780</v>
      </c>
      <c r="M37" s="16"/>
      <c r="N37" s="16"/>
      <c r="O37" s="16"/>
      <c r="P37" s="16"/>
      <c r="Q37" s="16">
        <v>1</v>
      </c>
    </row>
    <row r="38" spans="1:18" x14ac:dyDescent="0.25">
      <c r="A38" s="16"/>
      <c r="B38" s="16" t="s">
        <v>26</v>
      </c>
      <c r="C38" s="16" t="s">
        <v>111</v>
      </c>
      <c r="D38" s="16" t="s">
        <v>1865</v>
      </c>
      <c r="E38" s="16" t="s">
        <v>113</v>
      </c>
      <c r="F38" s="17">
        <v>4</v>
      </c>
      <c r="G38" s="17">
        <v>895</v>
      </c>
      <c r="H38" s="17">
        <v>25</v>
      </c>
      <c r="I38" s="17">
        <f t="shared" si="0"/>
        <v>870</v>
      </c>
      <c r="J38" s="16" t="s">
        <v>103</v>
      </c>
      <c r="K38" s="16" t="s">
        <v>32</v>
      </c>
      <c r="L38" s="16" t="s">
        <v>1780</v>
      </c>
      <c r="M38" s="16"/>
      <c r="N38" s="16"/>
      <c r="O38" s="16"/>
      <c r="P38" s="16"/>
      <c r="Q38" s="16">
        <v>1</v>
      </c>
    </row>
    <row r="39" spans="1:18" x14ac:dyDescent="0.25">
      <c r="A39" s="16"/>
      <c r="B39" s="16" t="s">
        <v>26</v>
      </c>
      <c r="C39" s="16" t="s">
        <v>1866</v>
      </c>
      <c r="D39" s="16" t="s">
        <v>1867</v>
      </c>
      <c r="E39" s="16" t="s">
        <v>1868</v>
      </c>
      <c r="F39" s="17">
        <v>7</v>
      </c>
      <c r="G39" s="17">
        <v>760</v>
      </c>
      <c r="H39" s="17">
        <v>30</v>
      </c>
      <c r="I39" s="17">
        <f t="shared" si="0"/>
        <v>730</v>
      </c>
      <c r="J39" s="16" t="s">
        <v>103</v>
      </c>
      <c r="K39" s="16" t="s">
        <v>32</v>
      </c>
      <c r="L39" s="16" t="s">
        <v>1780</v>
      </c>
      <c r="M39" s="16"/>
      <c r="N39" s="16"/>
      <c r="O39" s="16"/>
      <c r="P39" s="16"/>
      <c r="Q39" s="16">
        <v>1</v>
      </c>
    </row>
    <row r="40" spans="1:18" x14ac:dyDescent="0.25">
      <c r="A40" s="16"/>
      <c r="B40" s="16" t="s">
        <v>26</v>
      </c>
      <c r="C40" s="16" t="s">
        <v>1869</v>
      </c>
      <c r="D40" s="16" t="s">
        <v>1870</v>
      </c>
      <c r="E40" s="16" t="s">
        <v>1871</v>
      </c>
      <c r="F40" s="17">
        <v>10</v>
      </c>
      <c r="G40" s="17">
        <v>0</v>
      </c>
      <c r="H40" s="17">
        <v>25</v>
      </c>
      <c r="I40" s="17">
        <f t="shared" si="0"/>
        <v>-25</v>
      </c>
      <c r="J40" s="16" t="s">
        <v>103</v>
      </c>
      <c r="K40" s="16" t="s">
        <v>32</v>
      </c>
      <c r="L40" s="16" t="s">
        <v>1780</v>
      </c>
      <c r="M40" s="16"/>
      <c r="N40" s="16"/>
      <c r="O40" s="16"/>
      <c r="P40" s="16"/>
      <c r="Q40" s="16">
        <v>1</v>
      </c>
      <c r="R40" s="10">
        <f>H40</f>
        <v>25</v>
      </c>
    </row>
    <row r="41" spans="1:18" x14ac:dyDescent="0.25">
      <c r="A41" s="16"/>
      <c r="B41" s="16" t="s">
        <v>26</v>
      </c>
      <c r="C41" s="16" t="s">
        <v>1872</v>
      </c>
      <c r="D41" s="16" t="s">
        <v>1873</v>
      </c>
      <c r="E41" s="16" t="s">
        <v>1874</v>
      </c>
      <c r="F41" s="17">
        <v>3</v>
      </c>
      <c r="G41" s="17">
        <v>795</v>
      </c>
      <c r="H41" s="17">
        <v>25</v>
      </c>
      <c r="I41" s="17">
        <f t="shared" si="0"/>
        <v>770</v>
      </c>
      <c r="J41" s="16" t="s">
        <v>103</v>
      </c>
      <c r="K41" s="16" t="s">
        <v>32</v>
      </c>
      <c r="L41" s="16" t="s">
        <v>1780</v>
      </c>
      <c r="M41" s="16"/>
      <c r="N41" s="16"/>
      <c r="O41" s="16"/>
      <c r="P41" s="16"/>
      <c r="Q41" s="16">
        <v>1</v>
      </c>
    </row>
    <row r="42" spans="1:18" x14ac:dyDescent="0.25">
      <c r="A42" s="16"/>
      <c r="B42" s="16" t="s">
        <v>26</v>
      </c>
      <c r="C42" s="16" t="s">
        <v>1875</v>
      </c>
      <c r="D42" s="16" t="s">
        <v>1876</v>
      </c>
      <c r="E42" s="16" t="s">
        <v>1877</v>
      </c>
      <c r="F42" s="17">
        <v>5</v>
      </c>
      <c r="G42" s="17">
        <v>25</v>
      </c>
      <c r="H42" s="17">
        <v>25</v>
      </c>
      <c r="I42" s="17">
        <f t="shared" si="0"/>
        <v>0</v>
      </c>
      <c r="J42" s="16" t="s">
        <v>103</v>
      </c>
      <c r="K42" s="16" t="s">
        <v>32</v>
      </c>
      <c r="L42" s="16" t="s">
        <v>1780</v>
      </c>
      <c r="M42" s="16"/>
      <c r="N42" s="16"/>
      <c r="O42" s="16"/>
      <c r="P42" s="16"/>
      <c r="Q42" s="16">
        <v>1</v>
      </c>
    </row>
    <row r="43" spans="1:18" x14ac:dyDescent="0.25">
      <c r="A43" s="16"/>
      <c r="B43" s="16" t="s">
        <v>26</v>
      </c>
      <c r="C43" s="16" t="s">
        <v>1878</v>
      </c>
      <c r="D43" s="16" t="s">
        <v>1879</v>
      </c>
      <c r="E43" s="16" t="s">
        <v>1880</v>
      </c>
      <c r="F43" s="16" t="s">
        <v>93</v>
      </c>
      <c r="G43" s="17">
        <v>0</v>
      </c>
      <c r="H43" s="17">
        <v>25</v>
      </c>
      <c r="I43" s="17">
        <f t="shared" si="0"/>
        <v>-25</v>
      </c>
      <c r="J43" s="16" t="s">
        <v>103</v>
      </c>
      <c r="K43" s="16" t="s">
        <v>32</v>
      </c>
      <c r="L43" s="16" t="s">
        <v>1780</v>
      </c>
      <c r="M43" s="16"/>
      <c r="N43" s="16"/>
      <c r="O43" s="16"/>
      <c r="P43" s="16"/>
      <c r="Q43" s="16">
        <v>1</v>
      </c>
      <c r="R43" s="10">
        <f>H43</f>
        <v>25</v>
      </c>
    </row>
    <row r="44" spans="1:18" x14ac:dyDescent="0.25">
      <c r="A44" s="16"/>
      <c r="B44" s="16" t="s">
        <v>26</v>
      </c>
      <c r="C44" s="16" t="s">
        <v>1881</v>
      </c>
      <c r="D44" s="16" t="s">
        <v>1882</v>
      </c>
      <c r="E44" s="16" t="s">
        <v>1883</v>
      </c>
      <c r="F44" s="17">
        <v>3</v>
      </c>
      <c r="G44" s="17">
        <v>685</v>
      </c>
      <c r="H44" s="17">
        <v>25</v>
      </c>
      <c r="I44" s="17">
        <f t="shared" si="0"/>
        <v>660</v>
      </c>
      <c r="J44" s="16" t="s">
        <v>103</v>
      </c>
      <c r="K44" s="16" t="s">
        <v>32</v>
      </c>
      <c r="L44" s="16" t="s">
        <v>1780</v>
      </c>
      <c r="M44" s="16"/>
      <c r="N44" s="16"/>
      <c r="O44" s="16"/>
      <c r="P44" s="16"/>
      <c r="Q44" s="16">
        <v>1</v>
      </c>
    </row>
    <row r="45" spans="1:18" x14ac:dyDescent="0.25">
      <c r="A45" s="16"/>
      <c r="B45" s="16" t="s">
        <v>26</v>
      </c>
      <c r="C45" s="16" t="s">
        <v>1884</v>
      </c>
      <c r="D45" s="16" t="s">
        <v>1885</v>
      </c>
      <c r="E45" s="16" t="s">
        <v>1886</v>
      </c>
      <c r="F45" s="17">
        <v>5</v>
      </c>
      <c r="G45" s="17">
        <v>545</v>
      </c>
      <c r="H45" s="17">
        <v>25</v>
      </c>
      <c r="I45" s="17">
        <f t="shared" si="0"/>
        <v>520</v>
      </c>
      <c r="J45" s="16" t="s">
        <v>103</v>
      </c>
      <c r="K45" s="16" t="s">
        <v>32</v>
      </c>
      <c r="L45" s="16" t="s">
        <v>1780</v>
      </c>
      <c r="M45" s="16"/>
      <c r="N45" s="16"/>
      <c r="O45" s="16"/>
      <c r="P45" s="16"/>
      <c r="Q45" s="16">
        <v>1</v>
      </c>
    </row>
    <row r="46" spans="1:18" x14ac:dyDescent="0.25">
      <c r="A46" s="16"/>
      <c r="B46" s="16" t="s">
        <v>26</v>
      </c>
      <c r="C46" s="16" t="s">
        <v>1887</v>
      </c>
      <c r="D46" s="16" t="s">
        <v>1888</v>
      </c>
      <c r="E46" s="16" t="s">
        <v>1889</v>
      </c>
      <c r="F46" s="16" t="s">
        <v>93</v>
      </c>
      <c r="G46" s="17">
        <v>0</v>
      </c>
      <c r="H46" s="17">
        <v>25</v>
      </c>
      <c r="I46" s="17">
        <f t="shared" si="0"/>
        <v>-25</v>
      </c>
      <c r="J46" s="16" t="s">
        <v>103</v>
      </c>
      <c r="K46" s="16" t="s">
        <v>32</v>
      </c>
      <c r="L46" s="16" t="s">
        <v>1780</v>
      </c>
      <c r="M46" s="16"/>
      <c r="N46" s="16"/>
      <c r="O46" s="16"/>
      <c r="P46" s="16"/>
      <c r="Q46" s="16">
        <v>1</v>
      </c>
      <c r="R46" s="10">
        <f>H46</f>
        <v>25</v>
      </c>
    </row>
    <row r="48" spans="1:18" x14ac:dyDescent="0.25">
      <c r="D48" s="1">
        <f>COUNTA(D3:D46)</f>
        <v>41</v>
      </c>
      <c r="G48" s="1">
        <f t="shared" ref="G48:Q48" si="1">SUBTOTAL(9,G3:G46)</f>
        <v>27850</v>
      </c>
      <c r="H48" s="1">
        <f t="shared" si="1"/>
        <v>1195</v>
      </c>
      <c r="I48" s="1">
        <f t="shared" si="1"/>
        <v>26655</v>
      </c>
      <c r="J48" s="1">
        <f t="shared" si="1"/>
        <v>0</v>
      </c>
      <c r="K48" s="1">
        <f t="shared" si="1"/>
        <v>0</v>
      </c>
      <c r="L48" s="1">
        <f t="shared" si="1"/>
        <v>0</v>
      </c>
      <c r="M48" s="1">
        <f t="shared" si="1"/>
        <v>0</v>
      </c>
      <c r="N48" s="1">
        <f t="shared" si="1"/>
        <v>0</v>
      </c>
      <c r="O48" s="1">
        <f t="shared" si="1"/>
        <v>0</v>
      </c>
      <c r="P48" s="1">
        <f t="shared" si="1"/>
        <v>0</v>
      </c>
      <c r="Q48" s="1">
        <f t="shared" si="1"/>
        <v>44</v>
      </c>
    </row>
    <row r="49" spans="1:16" x14ac:dyDescent="0.25">
      <c r="H49">
        <f>-7*17</f>
        <v>-119</v>
      </c>
    </row>
    <row r="50" spans="1:16" x14ac:dyDescent="0.25">
      <c r="A50" s="1" t="s">
        <v>26</v>
      </c>
      <c r="C50" s="34" t="s">
        <v>144</v>
      </c>
      <c r="D50" s="34"/>
      <c r="E50" s="4" t="s">
        <v>145</v>
      </c>
      <c r="H50">
        <f>-5*25</f>
        <v>-125</v>
      </c>
      <c r="K50" s="11" t="s">
        <v>32</v>
      </c>
      <c r="L50" s="11" t="s">
        <v>146</v>
      </c>
      <c r="M50" s="11" t="s">
        <v>145</v>
      </c>
      <c r="O50" s="4" t="s">
        <v>147</v>
      </c>
    </row>
    <row r="51" spans="1:16" x14ac:dyDescent="0.25">
      <c r="A51" t="s">
        <v>1780</v>
      </c>
      <c r="B51" s="3" t="s">
        <v>148</v>
      </c>
      <c r="C51" s="35">
        <f>SUMIFS(I$3:I$46,B$3:B$46,A$50,L$3:L$46,A$51)</f>
        <v>26655</v>
      </c>
      <c r="D51" s="35"/>
      <c r="E51" s="3">
        <f>SUMIFS(Q$3:Q$46,B$3:B$46,A$50,L$3:L$46,A$51)</f>
        <v>44</v>
      </c>
      <c r="F51" t="s">
        <v>149</v>
      </c>
      <c r="H51">
        <f>-2*30</f>
        <v>-60</v>
      </c>
      <c r="K51" t="s">
        <v>150</v>
      </c>
      <c r="L51">
        <f>SUMIFS(G$3:G$46,J$3:J$46,K$50)</f>
        <v>12640</v>
      </c>
      <c r="M51">
        <f>SUMIFS(Q$3:Q$46,J$3:J$46,K$50)-INT(COUNTIFS(J$3:J$46,K$50,M$3:M$46,"*gộp*")/2)</f>
        <v>16</v>
      </c>
      <c r="O51" t="s">
        <v>32</v>
      </c>
      <c r="P51">
        <f>L56</f>
        <v>12189</v>
      </c>
    </row>
    <row r="52" spans="1:16" x14ac:dyDescent="0.25">
      <c r="B52" s="2" t="s">
        <v>152</v>
      </c>
      <c r="C52" s="36">
        <v>0</v>
      </c>
      <c r="D52" s="36"/>
      <c r="K52" t="s">
        <v>153</v>
      </c>
      <c r="L52">
        <f>-SUMIFS(H$3:H$46,J$3:J$46,K$50)+M52*5</f>
        <v>-365</v>
      </c>
      <c r="M52">
        <f>SUMIFS(Q$3:Q$46,J$3:J$46,K$50)-INT(COUNTIFS(J$3:J$46,K$50,M$3:M$46,"*gộp*")/2)</f>
        <v>16</v>
      </c>
      <c r="O52" t="s">
        <v>103</v>
      </c>
      <c r="P52">
        <f>L64</f>
        <v>6230</v>
      </c>
    </row>
    <row r="53" spans="1:16" x14ac:dyDescent="0.25">
      <c r="B53" s="2" t="s">
        <v>154</v>
      </c>
      <c r="C53" s="36">
        <f>-SUMIFS(I$3:I$46,B$3:B$46,A$50,P$3:P$46,"xx",N$3:N$46,"x")</f>
        <v>0</v>
      </c>
      <c r="D53" s="36"/>
      <c r="E53" s="2">
        <f>SUMIFS(Q$3:Q$46,B$3:B$46,A$50,P$3:P$46,"xx",N$3:N$46,"x")</f>
        <v>0</v>
      </c>
      <c r="K53" t="s">
        <v>155</v>
      </c>
      <c r="L53">
        <f>-M53*2</f>
        <v>-86</v>
      </c>
      <c r="M53">
        <f>E54-(COUNTIFS(M$3:M$46,"*gộp*")/2)-COUNTIFS(M$3:M$46,"*đơn trả*")-COUNTIFS(M$3:M$46,"*hàng tỉnh*")</f>
        <v>43</v>
      </c>
      <c r="O53" t="s">
        <v>1890</v>
      </c>
      <c r="P53">
        <f>L72</f>
        <v>8401</v>
      </c>
    </row>
    <row r="54" spans="1:16" x14ac:dyDescent="0.25">
      <c r="B54" s="4" t="s">
        <v>156</v>
      </c>
      <c r="C54" s="34">
        <f>SUBTOTAL(9,C51:C53)</f>
        <v>26655</v>
      </c>
      <c r="D54" s="34"/>
      <c r="E54">
        <f>E51</f>
        <v>44</v>
      </c>
      <c r="K54" s="12" t="s">
        <v>157</v>
      </c>
      <c r="O54" t="s">
        <v>158</v>
      </c>
      <c r="P54">
        <f>-C58</f>
        <v>-26645</v>
      </c>
    </row>
    <row r="55" spans="1:16" x14ac:dyDescent="0.25">
      <c r="B55" s="2" t="s">
        <v>159</v>
      </c>
      <c r="C55" s="32"/>
      <c r="D55" s="32"/>
      <c r="K55" s="2" t="s">
        <v>160</v>
      </c>
      <c r="O55" s="4" t="s">
        <v>161</v>
      </c>
      <c r="P55" s="4">
        <f>SUBTOTAL(9,P51:P54)</f>
        <v>175</v>
      </c>
    </row>
    <row r="56" spans="1:16" x14ac:dyDescent="0.25">
      <c r="B56" s="13" t="s">
        <v>162</v>
      </c>
      <c r="C56" s="32">
        <v>-10</v>
      </c>
      <c r="D56" s="32"/>
      <c r="L56" s="14">
        <f>SUBTOTAL(9,L51:L55)</f>
        <v>12189</v>
      </c>
      <c r="M56" s="14">
        <f>M51</f>
        <v>16</v>
      </c>
    </row>
    <row r="58" spans="1:16" x14ac:dyDescent="0.25">
      <c r="B58" s="1" t="s">
        <v>163</v>
      </c>
      <c r="C58" s="33">
        <f>C54+C55+C56</f>
        <v>26645</v>
      </c>
      <c r="D58" s="33"/>
      <c r="E58" s="1" t="s">
        <v>164</v>
      </c>
      <c r="K58" s="11" t="s">
        <v>103</v>
      </c>
      <c r="L58" s="11" t="s">
        <v>146</v>
      </c>
      <c r="M58" s="11" t="s">
        <v>145</v>
      </c>
    </row>
    <row r="59" spans="1:16" x14ac:dyDescent="0.25">
      <c r="K59" t="s">
        <v>150</v>
      </c>
      <c r="L59">
        <f>SUMIFS(G$3:G$46,J$3:J$46,K$58)</f>
        <v>6505</v>
      </c>
      <c r="M59">
        <f>SUMIFS(Q$3:Q$46,J$3:J$46,K$58)-INT(COUNTIFS(J$3:J$46,K$58,M$3:M$46,"*gộp*")/2)</f>
        <v>13</v>
      </c>
    </row>
    <row r="60" spans="1:16" x14ac:dyDescent="0.25">
      <c r="K60" t="s">
        <v>153</v>
      </c>
      <c r="L60">
        <f>-SUMIFS(H$3:H$46,J$3:J$46,K$58)+M60*5</f>
        <v>-275</v>
      </c>
      <c r="M60">
        <f>SUMIFS(Q$3:Q$46,J$3:J$46,K$58)-INT(COUNTIFS(J$3:J$46,K$58,M$3:M$46,"*gộp*")/2)</f>
        <v>13</v>
      </c>
    </row>
    <row r="61" spans="1:16" x14ac:dyDescent="0.25">
      <c r="K61" t="s">
        <v>155</v>
      </c>
    </row>
    <row r="62" spans="1:16" x14ac:dyDescent="0.25">
      <c r="K62" s="12" t="s">
        <v>157</v>
      </c>
    </row>
    <row r="63" spans="1:16" x14ac:dyDescent="0.25">
      <c r="K63" s="2" t="s">
        <v>160</v>
      </c>
    </row>
    <row r="64" spans="1:16" x14ac:dyDescent="0.25">
      <c r="L64" s="14">
        <f>SUBTOTAL(9,L59:L63)</f>
        <v>6230</v>
      </c>
      <c r="M64" s="14">
        <f>M59</f>
        <v>13</v>
      </c>
    </row>
    <row r="66" spans="11:13" x14ac:dyDescent="0.25">
      <c r="K66" s="11" t="s">
        <v>1779</v>
      </c>
      <c r="L66" s="11" t="s">
        <v>146</v>
      </c>
      <c r="M66" s="11" t="s">
        <v>145</v>
      </c>
    </row>
    <row r="67" spans="11:13" x14ac:dyDescent="0.25">
      <c r="K67" t="s">
        <v>150</v>
      </c>
      <c r="L67">
        <f>SUMIFS(G$3:G$46,J$3:J$46,K$66)</f>
        <v>8705</v>
      </c>
      <c r="M67">
        <f>SUMIFS(Q$3:Q$46,J$3:J$46,K$66)-INT(COUNTIFS(J$3:J$46,K$66,M$3:M$46,"*gộp*")/2)</f>
        <v>14</v>
      </c>
    </row>
    <row r="68" spans="11:13" x14ac:dyDescent="0.25">
      <c r="K68" t="s">
        <v>153</v>
      </c>
      <c r="L68">
        <f>SUM(H49:H51)</f>
        <v>-304</v>
      </c>
      <c r="M68">
        <f>SUMIFS(Q$3:Q$46,J$3:J$46,K$66)-INT(COUNTIFS(J$3:J$46,K$66,M$3:M$46,"*gộp*")/2)</f>
        <v>14</v>
      </c>
    </row>
    <row r="69" spans="11:13" x14ac:dyDescent="0.25">
      <c r="K69" t="s">
        <v>155</v>
      </c>
    </row>
    <row r="70" spans="11:13" x14ac:dyDescent="0.25">
      <c r="K70" s="12" t="s">
        <v>157</v>
      </c>
    </row>
    <row r="71" spans="11:13" x14ac:dyDescent="0.25">
      <c r="K71" s="2" t="s">
        <v>160</v>
      </c>
    </row>
    <row r="72" spans="11:13" x14ac:dyDescent="0.25">
      <c r="L72" s="14">
        <f>SUBTOTAL(9,L67:L71)</f>
        <v>8401</v>
      </c>
      <c r="M72" s="14">
        <f>M67</f>
        <v>14</v>
      </c>
    </row>
  </sheetData>
  <autoFilter ref="A2:P46" xr:uid="{00000000-0009-0000-0000-000014000000}">
    <sortState xmlns:xlrd2="http://schemas.microsoft.com/office/spreadsheetml/2017/richdata2" ref="A3:P46">
      <sortCondition ref="J2:J46"/>
    </sortState>
  </autoFilter>
  <mergeCells count="8">
    <mergeCell ref="C55:D55"/>
    <mergeCell ref="C56:D56"/>
    <mergeCell ref="C58:D58"/>
    <mergeCell ref="C50:D50"/>
    <mergeCell ref="C51:D51"/>
    <mergeCell ref="C52:D52"/>
    <mergeCell ref="C53:D53"/>
    <mergeCell ref="C54:D54"/>
  </mergeCells>
  <pageMargins left="0.75" right="0.75" top="0.75" bottom="0.5" header="0.5" footer="0.7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R47"/>
  <sheetViews>
    <sheetView workbookViewId="0">
      <selection activeCell="M10" sqref="M10"/>
    </sheetView>
  </sheetViews>
  <sheetFormatPr defaultRowHeight="15" x14ac:dyDescent="0.25"/>
  <cols>
    <col min="1" max="1" width="12.7109375" customWidth="1"/>
    <col min="2" max="2" width="8.5703125" customWidth="1"/>
    <col min="3" max="3" width="28.140625" customWidth="1"/>
    <col min="4" max="4" width="26.140625" customWidth="1"/>
    <col min="5" max="5" width="58.5703125" customWidth="1"/>
    <col min="6" max="6" width="10.71093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0.42578125" customWidth="1"/>
    <col min="13" max="13" width="15.5703125" bestFit="1" customWidth="1"/>
    <col min="14" max="14" width="9.7109375" customWidth="1"/>
    <col min="15" max="15" width="10.42578125" customWidth="1"/>
    <col min="16" max="16" width="7" bestFit="1" customWidth="1"/>
  </cols>
  <sheetData>
    <row r="2" spans="1:18" x14ac:dyDescent="0.25">
      <c r="A2" s="15" t="s">
        <v>10</v>
      </c>
      <c r="B2" s="15" t="s">
        <v>11</v>
      </c>
      <c r="C2" s="15" t="s">
        <v>12</v>
      </c>
      <c r="D2" s="15" t="s">
        <v>13</v>
      </c>
      <c r="E2" s="15" t="s">
        <v>14</v>
      </c>
      <c r="F2" s="15" t="s">
        <v>15</v>
      </c>
      <c r="G2" s="15" t="s">
        <v>16</v>
      </c>
      <c r="H2" s="15" t="s">
        <v>17</v>
      </c>
      <c r="I2" s="15" t="s">
        <v>18</v>
      </c>
      <c r="J2" s="15" t="s">
        <v>19</v>
      </c>
      <c r="K2" s="15" t="s">
        <v>20</v>
      </c>
      <c r="L2" s="15" t="s">
        <v>21</v>
      </c>
      <c r="M2" s="15" t="s">
        <v>22</v>
      </c>
      <c r="N2" s="15" t="s">
        <v>23</v>
      </c>
      <c r="O2" s="15" t="s">
        <v>24</v>
      </c>
      <c r="P2" s="15" t="s">
        <v>25</v>
      </c>
      <c r="Q2" s="16"/>
    </row>
    <row r="3" spans="1:18" x14ac:dyDescent="0.25">
      <c r="A3" s="16" t="s">
        <v>141</v>
      </c>
      <c r="B3" s="16" t="s">
        <v>26</v>
      </c>
      <c r="C3" s="16" t="s">
        <v>971</v>
      </c>
      <c r="D3" s="16"/>
      <c r="E3" s="16" t="s">
        <v>387</v>
      </c>
      <c r="F3" s="17">
        <v>6</v>
      </c>
      <c r="G3" s="17">
        <v>0</v>
      </c>
      <c r="H3" s="17">
        <v>30</v>
      </c>
      <c r="I3" s="17">
        <f t="shared" ref="I3:I21" si="0">G3-H3</f>
        <v>-30</v>
      </c>
      <c r="J3" s="16" t="s">
        <v>1891</v>
      </c>
      <c r="K3" s="16" t="s">
        <v>32</v>
      </c>
      <c r="L3" s="16" t="s">
        <v>1892</v>
      </c>
      <c r="M3" s="16"/>
      <c r="N3" s="16"/>
      <c r="O3" s="16"/>
      <c r="P3" s="16"/>
      <c r="Q3" s="16">
        <v>1</v>
      </c>
      <c r="R3" s="10">
        <f>H3</f>
        <v>30</v>
      </c>
    </row>
    <row r="4" spans="1:18" x14ac:dyDescent="0.25">
      <c r="A4" s="16"/>
      <c r="B4" s="16" t="s">
        <v>26</v>
      </c>
      <c r="C4" s="16" t="s">
        <v>1893</v>
      </c>
      <c r="D4" s="16" t="s">
        <v>1894</v>
      </c>
      <c r="E4" s="16" t="s">
        <v>1895</v>
      </c>
      <c r="F4" s="16" t="s">
        <v>30</v>
      </c>
      <c r="G4" s="17">
        <v>915</v>
      </c>
      <c r="H4" s="17">
        <v>25</v>
      </c>
      <c r="I4" s="17">
        <f t="shared" si="0"/>
        <v>890</v>
      </c>
      <c r="J4" s="16" t="s">
        <v>1891</v>
      </c>
      <c r="K4" s="16" t="s">
        <v>32</v>
      </c>
      <c r="L4" s="16" t="s">
        <v>1892</v>
      </c>
      <c r="M4" s="16"/>
      <c r="N4" s="16"/>
      <c r="O4" s="16"/>
      <c r="P4" s="16"/>
      <c r="Q4" s="16">
        <v>1</v>
      </c>
    </row>
    <row r="5" spans="1:18" s="21" customFormat="1" x14ac:dyDescent="0.25">
      <c r="A5" s="19"/>
      <c r="B5" s="19" t="s">
        <v>26</v>
      </c>
      <c r="C5" s="19" t="s">
        <v>1657</v>
      </c>
      <c r="D5" s="19" t="s">
        <v>1896</v>
      </c>
      <c r="E5" s="19" t="s">
        <v>1659</v>
      </c>
      <c r="F5" s="20">
        <v>8</v>
      </c>
      <c r="G5" s="20">
        <v>30</v>
      </c>
      <c r="H5" s="20">
        <v>30</v>
      </c>
      <c r="I5" s="20">
        <f t="shared" si="0"/>
        <v>0</v>
      </c>
      <c r="J5" s="19" t="s">
        <v>1891</v>
      </c>
      <c r="K5" s="19" t="s">
        <v>32</v>
      </c>
      <c r="L5" s="19" t="s">
        <v>1892</v>
      </c>
      <c r="M5" s="19" t="s">
        <v>68</v>
      </c>
      <c r="N5" s="19"/>
      <c r="O5" s="19"/>
      <c r="P5" s="19"/>
      <c r="Q5" s="19">
        <v>1</v>
      </c>
    </row>
    <row r="6" spans="1:18" x14ac:dyDescent="0.25">
      <c r="A6" s="16" t="s">
        <v>141</v>
      </c>
      <c r="B6" s="16" t="s">
        <v>26</v>
      </c>
      <c r="C6" s="16" t="s">
        <v>1897</v>
      </c>
      <c r="D6" s="16"/>
      <c r="E6" s="16" t="s">
        <v>422</v>
      </c>
      <c r="F6" s="16" t="s">
        <v>82</v>
      </c>
      <c r="G6" s="17">
        <v>30</v>
      </c>
      <c r="H6" s="17">
        <v>30</v>
      </c>
      <c r="I6" s="17">
        <f t="shared" si="0"/>
        <v>0</v>
      </c>
      <c r="J6" s="16" t="s">
        <v>32</v>
      </c>
      <c r="K6" s="16" t="s">
        <v>32</v>
      </c>
      <c r="L6" s="16" t="s">
        <v>1892</v>
      </c>
      <c r="M6" s="16"/>
      <c r="N6" s="16"/>
      <c r="O6" s="16"/>
      <c r="P6" s="16"/>
      <c r="Q6" s="16">
        <v>1</v>
      </c>
    </row>
    <row r="7" spans="1:18" x14ac:dyDescent="0.25">
      <c r="A7" s="16"/>
      <c r="B7" s="16" t="s">
        <v>26</v>
      </c>
      <c r="C7" s="16" t="s">
        <v>1898</v>
      </c>
      <c r="D7" s="16" t="s">
        <v>1899</v>
      </c>
      <c r="E7" s="16" t="s">
        <v>1900</v>
      </c>
      <c r="F7" s="17">
        <v>9</v>
      </c>
      <c r="G7" s="17">
        <v>690</v>
      </c>
      <c r="H7" s="17">
        <v>30</v>
      </c>
      <c r="I7" s="17">
        <f t="shared" si="0"/>
        <v>660</v>
      </c>
      <c r="J7" s="16" t="s">
        <v>32</v>
      </c>
      <c r="K7" s="16" t="s">
        <v>32</v>
      </c>
      <c r="L7" s="16" t="s">
        <v>1892</v>
      </c>
      <c r="M7" s="16"/>
      <c r="N7" s="16"/>
      <c r="O7" s="16"/>
      <c r="P7" s="16"/>
      <c r="Q7" s="16">
        <v>1</v>
      </c>
    </row>
    <row r="8" spans="1:18" x14ac:dyDescent="0.25">
      <c r="A8" s="16"/>
      <c r="B8" s="16" t="s">
        <v>26</v>
      </c>
      <c r="C8" s="16" t="s">
        <v>311</v>
      </c>
      <c r="D8" s="16" t="s">
        <v>1901</v>
      </c>
      <c r="E8" s="16" t="s">
        <v>313</v>
      </c>
      <c r="F8" s="16" t="s">
        <v>75</v>
      </c>
      <c r="G8" s="17">
        <v>0</v>
      </c>
      <c r="H8" s="17">
        <v>20</v>
      </c>
      <c r="I8" s="17">
        <f t="shared" si="0"/>
        <v>-20</v>
      </c>
      <c r="J8" s="16" t="s">
        <v>32</v>
      </c>
      <c r="K8" s="16" t="s">
        <v>32</v>
      </c>
      <c r="L8" s="16" t="s">
        <v>1892</v>
      </c>
      <c r="M8" s="16"/>
      <c r="N8" s="16"/>
      <c r="O8" s="16"/>
      <c r="P8" s="16"/>
      <c r="Q8" s="16">
        <v>1</v>
      </c>
      <c r="R8" s="10">
        <f>H8</f>
        <v>20</v>
      </c>
    </row>
    <row r="9" spans="1:18" x14ac:dyDescent="0.25">
      <c r="A9" s="16"/>
      <c r="B9" s="16" t="s">
        <v>26</v>
      </c>
      <c r="C9" s="16" t="s">
        <v>1902</v>
      </c>
      <c r="D9" s="16" t="s">
        <v>1903</v>
      </c>
      <c r="E9" s="16" t="s">
        <v>1904</v>
      </c>
      <c r="F9" s="16" t="s">
        <v>75</v>
      </c>
      <c r="G9" s="17">
        <v>0</v>
      </c>
      <c r="H9" s="17">
        <v>20</v>
      </c>
      <c r="I9" s="17">
        <f t="shared" si="0"/>
        <v>-20</v>
      </c>
      <c r="J9" s="16" t="s">
        <v>32</v>
      </c>
      <c r="K9" s="16" t="s">
        <v>32</v>
      </c>
      <c r="L9" s="16" t="s">
        <v>1892</v>
      </c>
      <c r="M9" s="16"/>
      <c r="N9" s="16"/>
      <c r="O9" s="16"/>
      <c r="P9" s="16"/>
      <c r="Q9" s="16">
        <v>1</v>
      </c>
      <c r="R9" s="10">
        <f>H9</f>
        <v>20</v>
      </c>
    </row>
    <row r="10" spans="1:18" x14ac:dyDescent="0.25">
      <c r="A10" s="16"/>
      <c r="B10" s="16" t="s">
        <v>26</v>
      </c>
      <c r="C10" s="16" t="s">
        <v>1905</v>
      </c>
      <c r="D10" s="16" t="s">
        <v>1906</v>
      </c>
      <c r="E10" s="16" t="s">
        <v>1907</v>
      </c>
      <c r="F10" s="17">
        <v>9</v>
      </c>
      <c r="G10" s="17">
        <v>0</v>
      </c>
      <c r="H10" s="17">
        <v>30</v>
      </c>
      <c r="I10" s="17">
        <f t="shared" si="0"/>
        <v>-30</v>
      </c>
      <c r="J10" s="16" t="s">
        <v>32</v>
      </c>
      <c r="K10" s="16" t="s">
        <v>32</v>
      </c>
      <c r="L10" s="16" t="s">
        <v>1892</v>
      </c>
      <c r="M10" s="27" t="s">
        <v>1908</v>
      </c>
      <c r="N10" s="16"/>
      <c r="O10" s="16"/>
      <c r="P10" s="16"/>
      <c r="Q10" s="16">
        <v>1</v>
      </c>
      <c r="R10" s="10">
        <f>H10</f>
        <v>30</v>
      </c>
    </row>
    <row r="11" spans="1:18" x14ac:dyDescent="0.25">
      <c r="A11" s="16"/>
      <c r="B11" s="16" t="s">
        <v>26</v>
      </c>
      <c r="C11" s="16" t="s">
        <v>1909</v>
      </c>
      <c r="D11" s="16" t="s">
        <v>1910</v>
      </c>
      <c r="E11" s="16" t="s">
        <v>1911</v>
      </c>
      <c r="F11" s="16" t="s">
        <v>75</v>
      </c>
      <c r="G11" s="17">
        <v>990</v>
      </c>
      <c r="H11" s="17">
        <v>20</v>
      </c>
      <c r="I11" s="17">
        <f t="shared" si="0"/>
        <v>970</v>
      </c>
      <c r="J11" s="16" t="s">
        <v>32</v>
      </c>
      <c r="K11" s="16" t="s">
        <v>32</v>
      </c>
      <c r="L11" s="16" t="s">
        <v>1892</v>
      </c>
      <c r="M11" s="16"/>
      <c r="N11" s="16"/>
      <c r="O11" s="16"/>
      <c r="P11" s="16"/>
      <c r="Q11" s="16">
        <v>1</v>
      </c>
    </row>
    <row r="12" spans="1:18" x14ac:dyDescent="0.25">
      <c r="A12" s="16"/>
      <c r="B12" s="16" t="s">
        <v>26</v>
      </c>
      <c r="C12" s="16" t="s">
        <v>1912</v>
      </c>
      <c r="D12" s="16" t="s">
        <v>1913</v>
      </c>
      <c r="E12" s="16" t="s">
        <v>1914</v>
      </c>
      <c r="F12" s="16" t="s">
        <v>82</v>
      </c>
      <c r="G12" s="17">
        <v>795</v>
      </c>
      <c r="H12" s="17">
        <v>25</v>
      </c>
      <c r="I12" s="17">
        <f t="shared" si="0"/>
        <v>770</v>
      </c>
      <c r="J12" s="16" t="s">
        <v>32</v>
      </c>
      <c r="K12" s="16" t="s">
        <v>32</v>
      </c>
      <c r="L12" s="16" t="s">
        <v>1892</v>
      </c>
      <c r="M12" s="16"/>
      <c r="N12" s="16"/>
      <c r="O12" s="16"/>
      <c r="P12" s="16"/>
      <c r="Q12" s="16">
        <v>1</v>
      </c>
    </row>
    <row r="13" spans="1:18" x14ac:dyDescent="0.25">
      <c r="A13" s="16" t="s">
        <v>141</v>
      </c>
      <c r="B13" s="16" t="s">
        <v>26</v>
      </c>
      <c r="C13" s="16" t="s">
        <v>1915</v>
      </c>
      <c r="D13" s="16"/>
      <c r="E13" s="16" t="s">
        <v>1916</v>
      </c>
      <c r="F13" s="17">
        <v>7</v>
      </c>
      <c r="G13" s="17">
        <v>0</v>
      </c>
      <c r="H13" s="17">
        <v>35</v>
      </c>
      <c r="I13" s="17">
        <f t="shared" si="0"/>
        <v>-35</v>
      </c>
      <c r="J13" s="16" t="s">
        <v>103</v>
      </c>
      <c r="K13" s="16" t="s">
        <v>32</v>
      </c>
      <c r="L13" s="16" t="s">
        <v>1892</v>
      </c>
      <c r="M13" s="16"/>
      <c r="N13" s="16"/>
      <c r="O13" s="16"/>
      <c r="P13" s="16"/>
      <c r="Q13" s="16">
        <v>1</v>
      </c>
      <c r="R13" s="10">
        <f>H13</f>
        <v>35</v>
      </c>
    </row>
    <row r="14" spans="1:18" x14ac:dyDescent="0.25">
      <c r="A14" s="16" t="s">
        <v>141</v>
      </c>
      <c r="B14" s="16" t="s">
        <v>26</v>
      </c>
      <c r="C14" s="16" t="s">
        <v>604</v>
      </c>
      <c r="D14" s="16"/>
      <c r="E14" s="16" t="s">
        <v>605</v>
      </c>
      <c r="F14" s="16" t="s">
        <v>93</v>
      </c>
      <c r="G14" s="17">
        <v>0</v>
      </c>
      <c r="H14" s="17">
        <v>30</v>
      </c>
      <c r="I14" s="17">
        <f t="shared" si="0"/>
        <v>-30</v>
      </c>
      <c r="J14" s="16" t="s">
        <v>103</v>
      </c>
      <c r="K14" s="16" t="s">
        <v>32</v>
      </c>
      <c r="L14" s="16" t="s">
        <v>1892</v>
      </c>
      <c r="M14" s="16"/>
      <c r="N14" s="16"/>
      <c r="O14" s="16"/>
      <c r="P14" s="16"/>
      <c r="Q14" s="16">
        <v>1</v>
      </c>
      <c r="R14" s="10">
        <f>H14</f>
        <v>30</v>
      </c>
    </row>
    <row r="15" spans="1:18" x14ac:dyDescent="0.25">
      <c r="A15" s="16"/>
      <c r="B15" s="16" t="s">
        <v>26</v>
      </c>
      <c r="C15" s="16" t="s">
        <v>1917</v>
      </c>
      <c r="D15" s="16" t="s">
        <v>1918</v>
      </c>
      <c r="E15" s="16" t="s">
        <v>1919</v>
      </c>
      <c r="F15" s="17">
        <v>7</v>
      </c>
      <c r="G15" s="17">
        <v>810</v>
      </c>
      <c r="H15" s="17">
        <v>30</v>
      </c>
      <c r="I15" s="17">
        <f t="shared" si="0"/>
        <v>780</v>
      </c>
      <c r="J15" s="16" t="s">
        <v>103</v>
      </c>
      <c r="K15" s="16" t="s">
        <v>32</v>
      </c>
      <c r="L15" s="16" t="s">
        <v>1892</v>
      </c>
      <c r="M15" s="16"/>
      <c r="N15" s="16"/>
      <c r="O15" s="16"/>
      <c r="P15" s="16"/>
      <c r="Q15" s="16">
        <v>1</v>
      </c>
    </row>
    <row r="16" spans="1:18" x14ac:dyDescent="0.25">
      <c r="A16" s="16"/>
      <c r="B16" s="16" t="s">
        <v>26</v>
      </c>
      <c r="C16" s="16" t="s">
        <v>1920</v>
      </c>
      <c r="D16" s="16" t="s">
        <v>1921</v>
      </c>
      <c r="E16" s="16" t="s">
        <v>1922</v>
      </c>
      <c r="F16" s="17">
        <v>1</v>
      </c>
      <c r="G16" s="17">
        <v>665</v>
      </c>
      <c r="H16" s="17">
        <v>25</v>
      </c>
      <c r="I16" s="17">
        <f t="shared" si="0"/>
        <v>640</v>
      </c>
      <c r="J16" s="16" t="s">
        <v>103</v>
      </c>
      <c r="K16" s="16" t="s">
        <v>32</v>
      </c>
      <c r="L16" s="16" t="s">
        <v>1892</v>
      </c>
      <c r="M16" s="16"/>
      <c r="N16" s="16"/>
      <c r="O16" s="16"/>
      <c r="P16" s="16"/>
      <c r="Q16" s="16">
        <v>1</v>
      </c>
    </row>
    <row r="17" spans="1:18" x14ac:dyDescent="0.25">
      <c r="A17" s="16"/>
      <c r="B17" s="16" t="s">
        <v>26</v>
      </c>
      <c r="C17" s="16" t="s">
        <v>257</v>
      </c>
      <c r="D17" s="16" t="s">
        <v>1923</v>
      </c>
      <c r="E17" s="16" t="s">
        <v>1924</v>
      </c>
      <c r="F17" s="17">
        <v>7</v>
      </c>
      <c r="G17" s="17">
        <v>2000</v>
      </c>
      <c r="H17" s="17">
        <v>30</v>
      </c>
      <c r="I17" s="17">
        <f t="shared" si="0"/>
        <v>1970</v>
      </c>
      <c r="J17" s="16" t="s">
        <v>103</v>
      </c>
      <c r="K17" s="16" t="s">
        <v>32</v>
      </c>
      <c r="L17" s="16" t="s">
        <v>1892</v>
      </c>
      <c r="M17" s="16"/>
      <c r="N17" s="16"/>
      <c r="O17" s="16"/>
      <c r="P17" s="16"/>
      <c r="Q17" s="16">
        <v>1</v>
      </c>
    </row>
    <row r="18" spans="1:18" x14ac:dyDescent="0.25">
      <c r="A18" s="16"/>
      <c r="B18" s="16" t="s">
        <v>26</v>
      </c>
      <c r="C18" s="16" t="s">
        <v>1925</v>
      </c>
      <c r="D18" s="16" t="s">
        <v>1926</v>
      </c>
      <c r="E18" s="16" t="s">
        <v>1927</v>
      </c>
      <c r="F18" s="17">
        <v>4</v>
      </c>
      <c r="G18" s="17">
        <v>1255</v>
      </c>
      <c r="H18" s="17">
        <v>25</v>
      </c>
      <c r="I18" s="17">
        <f t="shared" si="0"/>
        <v>1230</v>
      </c>
      <c r="J18" s="16" t="s">
        <v>103</v>
      </c>
      <c r="K18" s="16" t="s">
        <v>32</v>
      </c>
      <c r="L18" s="16" t="s">
        <v>1892</v>
      </c>
      <c r="M18" s="16"/>
      <c r="N18" s="16"/>
      <c r="O18" s="16"/>
      <c r="P18" s="16"/>
      <c r="Q18" s="16">
        <v>1</v>
      </c>
    </row>
    <row r="19" spans="1:18" x14ac:dyDescent="0.25">
      <c r="A19" s="16"/>
      <c r="B19" s="16" t="s">
        <v>26</v>
      </c>
      <c r="C19" s="16" t="s">
        <v>1928</v>
      </c>
      <c r="D19" s="16" t="s">
        <v>1929</v>
      </c>
      <c r="E19" s="16" t="s">
        <v>1930</v>
      </c>
      <c r="F19" s="17">
        <v>1</v>
      </c>
      <c r="G19" s="17">
        <v>745</v>
      </c>
      <c r="H19" s="17">
        <v>25</v>
      </c>
      <c r="I19" s="17">
        <f t="shared" si="0"/>
        <v>720</v>
      </c>
      <c r="J19" s="16" t="s">
        <v>103</v>
      </c>
      <c r="K19" s="16" t="s">
        <v>32</v>
      </c>
      <c r="L19" s="16" t="s">
        <v>1892</v>
      </c>
      <c r="M19" s="16"/>
      <c r="N19" s="16"/>
      <c r="O19" s="16"/>
      <c r="P19" s="16"/>
      <c r="Q19" s="16">
        <v>1</v>
      </c>
    </row>
    <row r="20" spans="1:18" x14ac:dyDescent="0.25">
      <c r="A20" s="16"/>
      <c r="B20" s="16" t="s">
        <v>26</v>
      </c>
      <c r="C20" s="16" t="s">
        <v>1931</v>
      </c>
      <c r="D20" s="16" t="s">
        <v>1932</v>
      </c>
      <c r="E20" s="16" t="s">
        <v>1933</v>
      </c>
      <c r="F20" s="17">
        <v>1</v>
      </c>
      <c r="G20" s="17">
        <v>1115</v>
      </c>
      <c r="H20" s="17">
        <v>25</v>
      </c>
      <c r="I20" s="17">
        <f t="shared" si="0"/>
        <v>1090</v>
      </c>
      <c r="J20" s="16" t="s">
        <v>103</v>
      </c>
      <c r="K20" s="16" t="s">
        <v>32</v>
      </c>
      <c r="L20" s="16" t="s">
        <v>1892</v>
      </c>
      <c r="M20" s="16"/>
      <c r="N20" s="16"/>
      <c r="O20" s="16"/>
      <c r="P20" s="16"/>
      <c r="Q20" s="16">
        <v>1</v>
      </c>
    </row>
    <row r="21" spans="1:18" x14ac:dyDescent="0.25">
      <c r="A21" s="16"/>
      <c r="B21" s="16" t="s">
        <v>26</v>
      </c>
      <c r="C21" s="16" t="s">
        <v>1934</v>
      </c>
      <c r="D21" s="16" t="s">
        <v>1935</v>
      </c>
      <c r="E21" s="16" t="s">
        <v>1936</v>
      </c>
      <c r="F21" s="17">
        <v>5</v>
      </c>
      <c r="G21" s="17">
        <v>0</v>
      </c>
      <c r="H21" s="17">
        <v>25</v>
      </c>
      <c r="I21" s="17">
        <f t="shared" si="0"/>
        <v>-25</v>
      </c>
      <c r="J21" s="16" t="s">
        <v>103</v>
      </c>
      <c r="K21" s="16" t="s">
        <v>32</v>
      </c>
      <c r="L21" s="16" t="s">
        <v>1892</v>
      </c>
      <c r="M21" s="16"/>
      <c r="N21" s="16"/>
      <c r="O21" s="16"/>
      <c r="P21" s="16"/>
      <c r="Q21" s="16">
        <v>1</v>
      </c>
      <c r="R21" s="10">
        <f>H21</f>
        <v>25</v>
      </c>
    </row>
    <row r="23" spans="1:18" x14ac:dyDescent="0.25">
      <c r="D23" s="1">
        <f>COUNTA(D3:D21)</f>
        <v>15</v>
      </c>
      <c r="G23" s="1">
        <f t="shared" ref="G23:Q23" si="1">SUBTOTAL(9,G3:G21)</f>
        <v>10040</v>
      </c>
      <c r="H23" s="1">
        <f t="shared" si="1"/>
        <v>510</v>
      </c>
      <c r="I23" s="1">
        <f t="shared" si="1"/>
        <v>9530</v>
      </c>
      <c r="J23" s="1">
        <f t="shared" si="1"/>
        <v>0</v>
      </c>
      <c r="K23" s="1">
        <f t="shared" si="1"/>
        <v>0</v>
      </c>
      <c r="L23" s="1">
        <f t="shared" si="1"/>
        <v>0</v>
      </c>
      <c r="M23" s="1">
        <f t="shared" si="1"/>
        <v>0</v>
      </c>
      <c r="N23" s="1">
        <f t="shared" si="1"/>
        <v>0</v>
      </c>
      <c r="O23" s="1">
        <f t="shared" si="1"/>
        <v>0</v>
      </c>
      <c r="P23" s="1">
        <f t="shared" si="1"/>
        <v>0</v>
      </c>
      <c r="Q23" s="1">
        <f t="shared" si="1"/>
        <v>19</v>
      </c>
    </row>
    <row r="24" spans="1:18" x14ac:dyDescent="0.25">
      <c r="H24">
        <f>-3*17</f>
        <v>-51</v>
      </c>
    </row>
    <row r="25" spans="1:18" x14ac:dyDescent="0.25">
      <c r="A25" s="1" t="s">
        <v>26</v>
      </c>
      <c r="C25" s="34" t="s">
        <v>144</v>
      </c>
      <c r="D25" s="34"/>
      <c r="E25" s="4" t="s">
        <v>145</v>
      </c>
      <c r="K25" s="11" t="s">
        <v>32</v>
      </c>
      <c r="L25" s="11" t="s">
        <v>146</v>
      </c>
      <c r="M25" s="11" t="s">
        <v>145</v>
      </c>
      <c r="O25" s="4" t="s">
        <v>147</v>
      </c>
    </row>
    <row r="26" spans="1:18" x14ac:dyDescent="0.25">
      <c r="A26" t="s">
        <v>1892</v>
      </c>
      <c r="B26" s="3" t="s">
        <v>148</v>
      </c>
      <c r="C26" s="35">
        <f>SUMIFS(I$3:I$21,B$3:B$21,A$25,L$3:L$21,A$26)</f>
        <v>9530</v>
      </c>
      <c r="D26" s="35"/>
      <c r="E26" s="3">
        <f>SUMIFS(Q$3:Q$21,B$3:B$21,A$25,L$3:L$21,A$26)</f>
        <v>19</v>
      </c>
      <c r="F26" t="s">
        <v>149</v>
      </c>
      <c r="K26" t="s">
        <v>150</v>
      </c>
      <c r="L26">
        <f>SUMIFS(G$3:G$21,J$3:J$21,K$25)</f>
        <v>2505</v>
      </c>
      <c r="M26">
        <f>SUMIFS(Q$3:Q$21,J$3:J$21,K$25)-INT(COUNTIFS(J$3:J$21,K$25,M$3:M$21,"*gộp*")/2)</f>
        <v>7</v>
      </c>
      <c r="O26" t="s">
        <v>32</v>
      </c>
      <c r="P26">
        <f>L31</f>
        <v>2327</v>
      </c>
    </row>
    <row r="27" spans="1:18" x14ac:dyDescent="0.25">
      <c r="B27" s="2" t="s">
        <v>152</v>
      </c>
      <c r="C27" s="36">
        <v>0</v>
      </c>
      <c r="D27" s="36"/>
      <c r="K27" t="s">
        <v>153</v>
      </c>
      <c r="L27">
        <f>-SUMIFS(H$3:H$21,J$3:J$21,K$25)+M27*5</f>
        <v>-140</v>
      </c>
      <c r="M27">
        <f>SUMIFS(Q$3:Q$21,J$3:J$21,K$25)-INT(COUNTIFS(J$3:J$21,K$25,M$3:M$21,"*gộp*")/2)</f>
        <v>7</v>
      </c>
      <c r="O27" t="s">
        <v>1937</v>
      </c>
      <c r="P27">
        <f>L39</f>
        <v>894</v>
      </c>
    </row>
    <row r="28" spans="1:18" x14ac:dyDescent="0.25">
      <c r="B28" s="2" t="s">
        <v>154</v>
      </c>
      <c r="C28" s="36">
        <f>-SUMIFS(I$3:I$21,B$3:B$21,A$25,P$3:P$21,"xx",N$3:N$21,"x")</f>
        <v>0</v>
      </c>
      <c r="D28" s="36"/>
      <c r="E28" s="2">
        <f>SUMIFS(Q$3:Q$21,B$3:B$21,A$25,P$3:P$21,"xx",N$3:N$21,"x")</f>
        <v>0</v>
      </c>
      <c r="K28" t="s">
        <v>155</v>
      </c>
      <c r="L28">
        <f>-M28*2</f>
        <v>-38</v>
      </c>
      <c r="M28">
        <f>E29-(COUNTIFS(M$3:M$21,"*gộp*")/2)-COUNTIFS(M$3:M$21,"*đơn trả*")-COUNTIFS(M$3:M$21,"*hàng tỉnh*")</f>
        <v>19</v>
      </c>
      <c r="O28" t="s">
        <v>103</v>
      </c>
      <c r="P28">
        <f>L47</f>
        <v>6385</v>
      </c>
    </row>
    <row r="29" spans="1:18" x14ac:dyDescent="0.25">
      <c r="B29" s="4" t="s">
        <v>156</v>
      </c>
      <c r="C29" s="34">
        <f>SUBTOTAL(9,C26:C28)</f>
        <v>9530</v>
      </c>
      <c r="D29" s="34"/>
      <c r="E29">
        <f>E26</f>
        <v>19</v>
      </c>
      <c r="K29" s="12" t="s">
        <v>157</v>
      </c>
      <c r="O29" t="s">
        <v>158</v>
      </c>
      <c r="P29">
        <f>-C33</f>
        <v>-9530</v>
      </c>
    </row>
    <row r="30" spans="1:18" x14ac:dyDescent="0.25">
      <c r="B30" s="2" t="s">
        <v>159</v>
      </c>
      <c r="C30" s="32"/>
      <c r="D30" s="32"/>
      <c r="K30" s="2" t="s">
        <v>160</v>
      </c>
      <c r="O30" s="4" t="s">
        <v>161</v>
      </c>
      <c r="P30" s="4">
        <f>SUBTOTAL(9,P26:P29)</f>
        <v>76</v>
      </c>
    </row>
    <row r="31" spans="1:18" x14ac:dyDescent="0.25">
      <c r="B31" s="13" t="s">
        <v>162</v>
      </c>
      <c r="C31" s="32"/>
      <c r="D31" s="32"/>
      <c r="L31" s="14">
        <f>SUBTOTAL(9,L26:L30)</f>
        <v>2327</v>
      </c>
      <c r="M31" s="14">
        <f>M26</f>
        <v>7</v>
      </c>
    </row>
    <row r="33" spans="2:13" x14ac:dyDescent="0.25">
      <c r="B33" s="1" t="s">
        <v>163</v>
      </c>
      <c r="C33" s="33">
        <f>C29+C30+C31</f>
        <v>9530</v>
      </c>
      <c r="D33" s="33"/>
      <c r="E33" s="1" t="s">
        <v>164</v>
      </c>
      <c r="K33" s="11" t="s">
        <v>1891</v>
      </c>
      <c r="L33" s="11" t="s">
        <v>146</v>
      </c>
      <c r="M33" s="11" t="s">
        <v>145</v>
      </c>
    </row>
    <row r="34" spans="2:13" x14ac:dyDescent="0.25">
      <c r="K34" t="s">
        <v>150</v>
      </c>
      <c r="L34">
        <f>SUMIFS(G$3:G$21,J$3:J$21,K$33)</f>
        <v>945</v>
      </c>
      <c r="M34">
        <f>SUMIFS(Q$3:Q$21,J$3:J$21,K$33)-INT(COUNTIFS(J$3:J$21,K$33,M$3:M$21,"*gộp*")/2)</f>
        <v>3</v>
      </c>
    </row>
    <row r="35" spans="2:13" x14ac:dyDescent="0.25">
      <c r="K35" t="s">
        <v>153</v>
      </c>
      <c r="L35">
        <f>SUM(H24:H24)</f>
        <v>-51</v>
      </c>
      <c r="M35">
        <f>SUMIFS(Q$3:Q$21,J$3:J$21,K$33)-INT(COUNTIFS(J$3:J$21,K$33,M$3:M$21,"*gộp*")/2)</f>
        <v>3</v>
      </c>
    </row>
    <row r="36" spans="2:13" x14ac:dyDescent="0.25">
      <c r="K36" t="s">
        <v>155</v>
      </c>
    </row>
    <row r="37" spans="2:13" x14ac:dyDescent="0.25">
      <c r="K37" s="12" t="s">
        <v>157</v>
      </c>
    </row>
    <row r="38" spans="2:13" x14ac:dyDescent="0.25">
      <c r="K38" s="2" t="s">
        <v>160</v>
      </c>
    </row>
    <row r="39" spans="2:13" x14ac:dyDescent="0.25">
      <c r="L39" s="14">
        <f>SUBTOTAL(9,L34:L38)</f>
        <v>894</v>
      </c>
      <c r="M39" s="14">
        <f>M34</f>
        <v>3</v>
      </c>
    </row>
    <row r="41" spans="2:13" x14ac:dyDescent="0.25">
      <c r="K41" s="11" t="s">
        <v>103</v>
      </c>
      <c r="L41" s="11" t="s">
        <v>146</v>
      </c>
      <c r="M41" s="11" t="s">
        <v>145</v>
      </c>
    </row>
    <row r="42" spans="2:13" x14ac:dyDescent="0.25">
      <c r="K42" t="s">
        <v>150</v>
      </c>
      <c r="L42">
        <f>SUMIFS(G$3:G$21,J$3:J$21,K$41)</f>
        <v>6590</v>
      </c>
      <c r="M42">
        <f>SUMIFS(Q$3:Q$21,J$3:J$21,K$41)-INT(COUNTIFS(J$3:J$21,K$41,M$3:M$21,"*gộp*")/2)</f>
        <v>9</v>
      </c>
    </row>
    <row r="43" spans="2:13" x14ac:dyDescent="0.25">
      <c r="K43" t="s">
        <v>153</v>
      </c>
      <c r="L43">
        <f>-SUMIFS(H$3:H$21,J$3:J$21,K$41)+M43*5</f>
        <v>-205</v>
      </c>
      <c r="M43">
        <f>SUMIFS(Q$3:Q$21,J$3:J$21,K$41)-INT(COUNTIFS(J$3:J$21,K$41,M$3:M$21,"*gộp*")/2)</f>
        <v>9</v>
      </c>
    </row>
    <row r="44" spans="2:13" x14ac:dyDescent="0.25">
      <c r="K44" t="s">
        <v>155</v>
      </c>
    </row>
    <row r="45" spans="2:13" x14ac:dyDescent="0.25">
      <c r="K45" s="12" t="s">
        <v>157</v>
      </c>
    </row>
    <row r="46" spans="2:13" x14ac:dyDescent="0.25">
      <c r="K46" s="2" t="s">
        <v>160</v>
      </c>
    </row>
    <row r="47" spans="2:13" x14ac:dyDescent="0.25">
      <c r="L47" s="14">
        <f>SUBTOTAL(9,L42:L46)</f>
        <v>6385</v>
      </c>
      <c r="M47" s="14">
        <f>M42</f>
        <v>9</v>
      </c>
    </row>
  </sheetData>
  <autoFilter ref="A2:P21" xr:uid="{00000000-0009-0000-0000-000015000000}">
    <sortState xmlns:xlrd2="http://schemas.microsoft.com/office/spreadsheetml/2017/richdata2" ref="A3:P21">
      <sortCondition ref="J2:J21"/>
    </sortState>
  </autoFilter>
  <mergeCells count="8">
    <mergeCell ref="C30:D30"/>
    <mergeCell ref="C31:D31"/>
    <mergeCell ref="C33:D33"/>
    <mergeCell ref="C25:D25"/>
    <mergeCell ref="C26:D26"/>
    <mergeCell ref="C27:D27"/>
    <mergeCell ref="C28:D28"/>
    <mergeCell ref="C29:D29"/>
  </mergeCells>
  <pageMargins left="0.75" right="0.75" top="0.75" bottom="0.5" header="0.5" footer="0.75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R52"/>
  <sheetViews>
    <sheetView workbookViewId="0"/>
  </sheetViews>
  <sheetFormatPr defaultRowHeight="15" x14ac:dyDescent="0.25"/>
  <cols>
    <col min="1" max="1" width="12.7109375" customWidth="1"/>
    <col min="2" max="2" width="17.7109375" customWidth="1"/>
    <col min="3" max="3" width="23.140625" customWidth="1"/>
    <col min="4" max="4" width="9.85546875" customWidth="1"/>
    <col min="5" max="5" width="56.5703125" customWidth="1"/>
    <col min="6" max="6" width="10.855468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0.42578125" customWidth="1"/>
    <col min="13" max="13" width="13.85546875" customWidth="1"/>
    <col min="14" max="14" width="9.7109375" customWidth="1"/>
    <col min="15" max="15" width="10.42578125" customWidth="1"/>
    <col min="16" max="16" width="7" bestFit="1" customWidth="1"/>
  </cols>
  <sheetData>
    <row r="2" spans="1:18" x14ac:dyDescent="0.25">
      <c r="A2" s="15" t="s">
        <v>10</v>
      </c>
      <c r="B2" s="15" t="s">
        <v>11</v>
      </c>
      <c r="C2" s="15" t="s">
        <v>12</v>
      </c>
      <c r="D2" s="15" t="s">
        <v>13</v>
      </c>
      <c r="E2" s="15" t="s">
        <v>14</v>
      </c>
      <c r="F2" s="15" t="s">
        <v>15</v>
      </c>
      <c r="G2" s="15" t="s">
        <v>16</v>
      </c>
      <c r="H2" s="15" t="s">
        <v>17</v>
      </c>
      <c r="I2" s="15" t="s">
        <v>18</v>
      </c>
      <c r="J2" s="15" t="s">
        <v>19</v>
      </c>
      <c r="K2" s="15" t="s">
        <v>20</v>
      </c>
      <c r="L2" s="15" t="s">
        <v>21</v>
      </c>
      <c r="M2" s="15" t="s">
        <v>22</v>
      </c>
      <c r="N2" s="15" t="s">
        <v>23</v>
      </c>
      <c r="O2" s="15" t="s">
        <v>24</v>
      </c>
      <c r="P2" s="15" t="s">
        <v>25</v>
      </c>
      <c r="Q2" s="16"/>
    </row>
    <row r="3" spans="1:18" x14ac:dyDescent="0.25">
      <c r="A3" s="16" t="s">
        <v>141</v>
      </c>
      <c r="B3" s="16" t="s">
        <v>26</v>
      </c>
      <c r="C3" s="16" t="s">
        <v>306</v>
      </c>
      <c r="D3" s="16"/>
      <c r="E3" s="16" t="s">
        <v>307</v>
      </c>
      <c r="F3" s="17">
        <v>6</v>
      </c>
      <c r="G3" s="17">
        <v>2825</v>
      </c>
      <c r="H3" s="17">
        <v>35</v>
      </c>
      <c r="I3" s="17">
        <f t="shared" ref="I3:I26" si="0">G3-H3</f>
        <v>2790</v>
      </c>
      <c r="J3" s="16" t="s">
        <v>1938</v>
      </c>
      <c r="K3" s="16" t="s">
        <v>32</v>
      </c>
      <c r="L3" s="16" t="s">
        <v>1939</v>
      </c>
      <c r="M3" s="16"/>
      <c r="N3" s="16"/>
      <c r="O3" s="16"/>
      <c r="P3" s="16"/>
      <c r="Q3" s="16">
        <v>1</v>
      </c>
    </row>
    <row r="4" spans="1:18" x14ac:dyDescent="0.25">
      <c r="A4" s="16"/>
      <c r="B4" s="16" t="s">
        <v>26</v>
      </c>
      <c r="C4" s="16" t="s">
        <v>1940</v>
      </c>
      <c r="D4" s="16" t="s">
        <v>1941</v>
      </c>
      <c r="E4" s="16" t="s">
        <v>1942</v>
      </c>
      <c r="F4" s="17">
        <v>8</v>
      </c>
      <c r="G4" s="17">
        <v>820</v>
      </c>
      <c r="H4" s="17">
        <v>30</v>
      </c>
      <c r="I4" s="17">
        <f t="shared" si="0"/>
        <v>790</v>
      </c>
      <c r="J4" s="16" t="s">
        <v>1938</v>
      </c>
      <c r="K4" s="16" t="s">
        <v>32</v>
      </c>
      <c r="L4" s="16" t="s">
        <v>1939</v>
      </c>
      <c r="M4" s="16"/>
      <c r="N4" s="16"/>
      <c r="O4" s="16"/>
      <c r="P4" s="16"/>
      <c r="Q4" s="16">
        <v>1</v>
      </c>
    </row>
    <row r="5" spans="1:18" x14ac:dyDescent="0.25">
      <c r="A5" s="16"/>
      <c r="B5" s="16" t="s">
        <v>26</v>
      </c>
      <c r="C5" s="16" t="s">
        <v>1943</v>
      </c>
      <c r="D5" s="16" t="s">
        <v>1944</v>
      </c>
      <c r="E5" s="16" t="s">
        <v>1945</v>
      </c>
      <c r="F5" s="16" t="s">
        <v>51</v>
      </c>
      <c r="G5" s="17">
        <v>720</v>
      </c>
      <c r="H5" s="17">
        <v>30</v>
      </c>
      <c r="I5" s="17">
        <f t="shared" si="0"/>
        <v>690</v>
      </c>
      <c r="J5" s="16" t="s">
        <v>1938</v>
      </c>
      <c r="K5" s="16" t="s">
        <v>32</v>
      </c>
      <c r="L5" s="16" t="s">
        <v>1939</v>
      </c>
      <c r="M5" s="16"/>
      <c r="N5" s="16"/>
      <c r="O5" s="16"/>
      <c r="P5" s="16"/>
      <c r="Q5" s="16">
        <v>1</v>
      </c>
    </row>
    <row r="6" spans="1:18" x14ac:dyDescent="0.25">
      <c r="A6" s="16"/>
      <c r="B6" s="16" t="s">
        <v>26</v>
      </c>
      <c r="C6" s="16" t="s">
        <v>1946</v>
      </c>
      <c r="D6" s="16" t="s">
        <v>1947</v>
      </c>
      <c r="E6" s="16" t="s">
        <v>1948</v>
      </c>
      <c r="F6" s="16" t="s">
        <v>40</v>
      </c>
      <c r="G6" s="17">
        <v>625</v>
      </c>
      <c r="H6" s="17">
        <v>35</v>
      </c>
      <c r="I6" s="17">
        <f t="shared" si="0"/>
        <v>590</v>
      </c>
      <c r="J6" s="16" t="s">
        <v>1938</v>
      </c>
      <c r="K6" s="16" t="s">
        <v>32</v>
      </c>
      <c r="L6" s="16" t="s">
        <v>1939</v>
      </c>
      <c r="M6" s="16"/>
      <c r="N6" s="16"/>
      <c r="O6" s="16"/>
      <c r="P6" s="16"/>
      <c r="Q6" s="16">
        <v>1</v>
      </c>
    </row>
    <row r="7" spans="1:18" x14ac:dyDescent="0.25">
      <c r="A7" s="16"/>
      <c r="B7" s="16" t="s">
        <v>26</v>
      </c>
      <c r="C7" s="16" t="s">
        <v>1949</v>
      </c>
      <c r="D7" s="16" t="s">
        <v>1950</v>
      </c>
      <c r="E7" s="16" t="s">
        <v>1951</v>
      </c>
      <c r="F7" s="17">
        <v>6</v>
      </c>
      <c r="G7" s="17">
        <v>845</v>
      </c>
      <c r="H7" s="17">
        <v>25</v>
      </c>
      <c r="I7" s="17">
        <f t="shared" si="0"/>
        <v>820</v>
      </c>
      <c r="J7" s="16" t="s">
        <v>1938</v>
      </c>
      <c r="K7" s="16" t="s">
        <v>32</v>
      </c>
      <c r="L7" s="16" t="s">
        <v>1939</v>
      </c>
      <c r="M7" s="16"/>
      <c r="N7" s="16"/>
      <c r="O7" s="16"/>
      <c r="P7" s="16"/>
      <c r="Q7" s="16">
        <v>1</v>
      </c>
    </row>
    <row r="8" spans="1:18" x14ac:dyDescent="0.25">
      <c r="A8" s="16"/>
      <c r="B8" s="16" t="s">
        <v>26</v>
      </c>
      <c r="C8" s="16" t="s">
        <v>1952</v>
      </c>
      <c r="D8" s="16" t="s">
        <v>1953</v>
      </c>
      <c r="E8" s="16" t="s">
        <v>1954</v>
      </c>
      <c r="F8" s="16" t="s">
        <v>30</v>
      </c>
      <c r="G8" s="17">
        <v>665</v>
      </c>
      <c r="H8" s="17">
        <v>25</v>
      </c>
      <c r="I8" s="17">
        <f t="shared" si="0"/>
        <v>640</v>
      </c>
      <c r="J8" s="16" t="s">
        <v>1938</v>
      </c>
      <c r="K8" s="16" t="s">
        <v>32</v>
      </c>
      <c r="L8" s="16" t="s">
        <v>1939</v>
      </c>
      <c r="M8" s="16"/>
      <c r="N8" s="16"/>
      <c r="O8" s="16"/>
      <c r="P8" s="16"/>
      <c r="Q8" s="16">
        <v>1</v>
      </c>
    </row>
    <row r="9" spans="1:18" x14ac:dyDescent="0.25">
      <c r="A9" s="16" t="s">
        <v>141</v>
      </c>
      <c r="B9" s="16" t="s">
        <v>26</v>
      </c>
      <c r="C9" s="16" t="s">
        <v>551</v>
      </c>
      <c r="D9" s="16"/>
      <c r="E9" s="16" t="s">
        <v>994</v>
      </c>
      <c r="F9" s="16" t="s">
        <v>82</v>
      </c>
      <c r="G9" s="17">
        <v>0</v>
      </c>
      <c r="H9" s="17">
        <v>30</v>
      </c>
      <c r="I9" s="17">
        <f t="shared" si="0"/>
        <v>-30</v>
      </c>
      <c r="J9" s="16" t="s">
        <v>32</v>
      </c>
      <c r="K9" s="16" t="s">
        <v>32</v>
      </c>
      <c r="L9" s="16" t="s">
        <v>1939</v>
      </c>
      <c r="M9" s="16"/>
      <c r="N9" s="16"/>
      <c r="O9" s="16"/>
      <c r="P9" s="16"/>
      <c r="Q9" s="16">
        <v>1</v>
      </c>
      <c r="R9" s="10">
        <f>H9</f>
        <v>30</v>
      </c>
    </row>
    <row r="10" spans="1:18" x14ac:dyDescent="0.25">
      <c r="A10" s="16"/>
      <c r="B10" s="16" t="s">
        <v>26</v>
      </c>
      <c r="C10" s="16" t="s">
        <v>753</v>
      </c>
      <c r="D10" s="16" t="s">
        <v>1955</v>
      </c>
      <c r="E10" s="16" t="s">
        <v>1499</v>
      </c>
      <c r="F10" s="16" t="s">
        <v>75</v>
      </c>
      <c r="G10" s="17">
        <v>910</v>
      </c>
      <c r="H10" s="17">
        <v>20</v>
      </c>
      <c r="I10" s="17">
        <f t="shared" si="0"/>
        <v>890</v>
      </c>
      <c r="J10" s="16" t="s">
        <v>32</v>
      </c>
      <c r="K10" s="16" t="s">
        <v>32</v>
      </c>
      <c r="L10" s="16" t="s">
        <v>1939</v>
      </c>
      <c r="M10" s="16"/>
      <c r="N10" s="16"/>
      <c r="O10" s="16"/>
      <c r="P10" s="16"/>
      <c r="Q10" s="16">
        <v>1</v>
      </c>
    </row>
    <row r="11" spans="1:18" x14ac:dyDescent="0.25">
      <c r="A11" s="16"/>
      <c r="B11" s="16" t="s">
        <v>26</v>
      </c>
      <c r="C11" s="16" t="s">
        <v>1956</v>
      </c>
      <c r="D11" s="16" t="s">
        <v>1957</v>
      </c>
      <c r="E11" s="16" t="s">
        <v>1958</v>
      </c>
      <c r="F11" s="16" t="s">
        <v>82</v>
      </c>
      <c r="G11" s="17">
        <v>745</v>
      </c>
      <c r="H11" s="17">
        <v>25</v>
      </c>
      <c r="I11" s="17">
        <f t="shared" si="0"/>
        <v>720</v>
      </c>
      <c r="J11" s="16" t="s">
        <v>32</v>
      </c>
      <c r="K11" s="16" t="s">
        <v>32</v>
      </c>
      <c r="L11" s="16" t="s">
        <v>1939</v>
      </c>
      <c r="M11" s="16"/>
      <c r="N11" s="16"/>
      <c r="O11" s="16"/>
      <c r="P11" s="16"/>
      <c r="Q11" s="16">
        <v>1</v>
      </c>
    </row>
    <row r="12" spans="1:18" x14ac:dyDescent="0.25">
      <c r="A12" s="16"/>
      <c r="B12" s="16" t="s">
        <v>26</v>
      </c>
      <c r="C12" s="16" t="s">
        <v>1959</v>
      </c>
      <c r="D12" s="16" t="s">
        <v>1960</v>
      </c>
      <c r="E12" s="16" t="s">
        <v>1961</v>
      </c>
      <c r="F12" s="16" t="s">
        <v>89</v>
      </c>
      <c r="G12" s="17">
        <v>2796</v>
      </c>
      <c r="H12" s="17">
        <v>35</v>
      </c>
      <c r="I12" s="17">
        <f t="shared" si="0"/>
        <v>2761</v>
      </c>
      <c r="J12" s="16" t="s">
        <v>32</v>
      </c>
      <c r="K12" s="16" t="s">
        <v>32</v>
      </c>
      <c r="L12" s="16" t="s">
        <v>1939</v>
      </c>
      <c r="M12" s="18" t="s">
        <v>55</v>
      </c>
      <c r="N12" s="16"/>
      <c r="O12" s="16"/>
      <c r="P12" s="16"/>
      <c r="Q12" s="16">
        <v>1</v>
      </c>
      <c r="R12" s="10">
        <f>H12</f>
        <v>35</v>
      </c>
    </row>
    <row r="13" spans="1:18" x14ac:dyDescent="0.25">
      <c r="A13" s="16"/>
      <c r="B13" s="16" t="s">
        <v>26</v>
      </c>
      <c r="C13" s="16" t="s">
        <v>1962</v>
      </c>
      <c r="D13" s="16" t="s">
        <v>1963</v>
      </c>
      <c r="E13" s="16" t="s">
        <v>1964</v>
      </c>
      <c r="F13" s="17">
        <v>2</v>
      </c>
      <c r="G13" s="17">
        <v>920</v>
      </c>
      <c r="H13" s="17">
        <v>30</v>
      </c>
      <c r="I13" s="17">
        <f t="shared" si="0"/>
        <v>890</v>
      </c>
      <c r="J13" s="16" t="s">
        <v>32</v>
      </c>
      <c r="K13" s="16" t="s">
        <v>32</v>
      </c>
      <c r="L13" s="16" t="s">
        <v>1939</v>
      </c>
      <c r="M13" s="16"/>
      <c r="N13" s="16"/>
      <c r="O13" s="16"/>
      <c r="P13" s="16"/>
      <c r="Q13" s="16">
        <v>1</v>
      </c>
    </row>
    <row r="14" spans="1:18" x14ac:dyDescent="0.25">
      <c r="A14" s="16"/>
      <c r="B14" s="16" t="s">
        <v>26</v>
      </c>
      <c r="C14" s="16" t="s">
        <v>521</v>
      </c>
      <c r="D14" s="16" t="s">
        <v>1965</v>
      </c>
      <c r="E14" s="16" t="s">
        <v>317</v>
      </c>
      <c r="F14" s="17">
        <v>12</v>
      </c>
      <c r="G14" s="17">
        <v>0</v>
      </c>
      <c r="H14" s="17">
        <v>30</v>
      </c>
      <c r="I14" s="17">
        <f t="shared" si="0"/>
        <v>-30</v>
      </c>
      <c r="J14" s="16" t="s">
        <v>32</v>
      </c>
      <c r="K14" s="16" t="s">
        <v>32</v>
      </c>
      <c r="L14" s="16" t="s">
        <v>1939</v>
      </c>
      <c r="M14" s="16"/>
      <c r="N14" s="16"/>
      <c r="O14" s="16"/>
      <c r="P14" s="16"/>
      <c r="Q14" s="16">
        <v>1</v>
      </c>
      <c r="R14" s="10">
        <f>H14</f>
        <v>30</v>
      </c>
    </row>
    <row r="15" spans="1:18" x14ac:dyDescent="0.25">
      <c r="A15" s="16"/>
      <c r="B15" s="16" t="s">
        <v>26</v>
      </c>
      <c r="C15" s="16" t="s">
        <v>515</v>
      </c>
      <c r="D15" s="16" t="s">
        <v>1966</v>
      </c>
      <c r="E15" s="16" t="s">
        <v>517</v>
      </c>
      <c r="F15" s="16" t="s">
        <v>82</v>
      </c>
      <c r="G15" s="17">
        <v>225</v>
      </c>
      <c r="H15" s="17">
        <v>25</v>
      </c>
      <c r="I15" s="17">
        <f t="shared" si="0"/>
        <v>200</v>
      </c>
      <c r="J15" s="16" t="s">
        <v>32</v>
      </c>
      <c r="K15" s="16" t="s">
        <v>32</v>
      </c>
      <c r="L15" s="16" t="s">
        <v>1939</v>
      </c>
      <c r="M15" s="16"/>
      <c r="N15" s="16"/>
      <c r="O15" s="16"/>
      <c r="P15" s="16"/>
      <c r="Q15" s="16">
        <v>1</v>
      </c>
    </row>
    <row r="16" spans="1:18" x14ac:dyDescent="0.25">
      <c r="A16" s="16"/>
      <c r="B16" s="16" t="s">
        <v>26</v>
      </c>
      <c r="C16" s="16" t="s">
        <v>1967</v>
      </c>
      <c r="D16" s="16" t="s">
        <v>1968</v>
      </c>
      <c r="E16" s="16" t="s">
        <v>1969</v>
      </c>
      <c r="F16" s="17">
        <v>7</v>
      </c>
      <c r="G16" s="17">
        <v>0</v>
      </c>
      <c r="H16" s="17">
        <v>30</v>
      </c>
      <c r="I16" s="17">
        <f t="shared" si="0"/>
        <v>-30</v>
      </c>
      <c r="J16" s="16" t="s">
        <v>103</v>
      </c>
      <c r="K16" s="16" t="s">
        <v>32</v>
      </c>
      <c r="L16" s="16" t="s">
        <v>1939</v>
      </c>
      <c r="M16" s="16"/>
      <c r="N16" s="16"/>
      <c r="O16" s="16"/>
      <c r="P16" s="16"/>
      <c r="Q16" s="16">
        <v>1</v>
      </c>
      <c r="R16" s="10">
        <f>H16</f>
        <v>30</v>
      </c>
    </row>
    <row r="17" spans="1:18" x14ac:dyDescent="0.25">
      <c r="A17" s="16"/>
      <c r="B17" s="16" t="s">
        <v>26</v>
      </c>
      <c r="C17" s="16" t="s">
        <v>1970</v>
      </c>
      <c r="D17" s="16" t="s">
        <v>1971</v>
      </c>
      <c r="E17" s="16" t="s">
        <v>1972</v>
      </c>
      <c r="F17" s="17">
        <v>3</v>
      </c>
      <c r="G17" s="17">
        <v>0</v>
      </c>
      <c r="H17" s="17">
        <v>25</v>
      </c>
      <c r="I17" s="17">
        <f t="shared" si="0"/>
        <v>-25</v>
      </c>
      <c r="J17" s="16" t="s">
        <v>103</v>
      </c>
      <c r="K17" s="16" t="s">
        <v>32</v>
      </c>
      <c r="L17" s="16" t="s">
        <v>1939</v>
      </c>
      <c r="M17" s="16"/>
      <c r="N17" s="16"/>
      <c r="O17" s="16"/>
      <c r="P17" s="16"/>
      <c r="Q17" s="16">
        <v>1</v>
      </c>
      <c r="R17" s="10">
        <f>H17</f>
        <v>25</v>
      </c>
    </row>
    <row r="18" spans="1:18" x14ac:dyDescent="0.25">
      <c r="A18" s="16"/>
      <c r="B18" s="16" t="s">
        <v>26</v>
      </c>
      <c r="C18" s="16" t="s">
        <v>1973</v>
      </c>
      <c r="D18" s="16" t="s">
        <v>1974</v>
      </c>
      <c r="E18" s="16" t="s">
        <v>1975</v>
      </c>
      <c r="F18" s="17">
        <v>3</v>
      </c>
      <c r="G18" s="17">
        <v>1375</v>
      </c>
      <c r="H18" s="17">
        <v>25</v>
      </c>
      <c r="I18" s="17">
        <f t="shared" si="0"/>
        <v>1350</v>
      </c>
      <c r="J18" s="16" t="s">
        <v>103</v>
      </c>
      <c r="K18" s="16" t="s">
        <v>32</v>
      </c>
      <c r="L18" s="16" t="s">
        <v>1939</v>
      </c>
      <c r="M18" s="16"/>
      <c r="N18" s="16"/>
      <c r="O18" s="16"/>
      <c r="P18" s="16"/>
      <c r="Q18" s="16">
        <v>1</v>
      </c>
    </row>
    <row r="19" spans="1:18" x14ac:dyDescent="0.25">
      <c r="A19" s="16"/>
      <c r="B19" s="16" t="s">
        <v>26</v>
      </c>
      <c r="C19" s="16" t="s">
        <v>132</v>
      </c>
      <c r="D19" s="16" t="s">
        <v>1976</v>
      </c>
      <c r="E19" s="16" t="s">
        <v>134</v>
      </c>
      <c r="F19" s="17">
        <v>3</v>
      </c>
      <c r="G19" s="17">
        <v>915</v>
      </c>
      <c r="H19" s="17">
        <v>25</v>
      </c>
      <c r="I19" s="17">
        <f t="shared" si="0"/>
        <v>890</v>
      </c>
      <c r="J19" s="16" t="s">
        <v>103</v>
      </c>
      <c r="K19" s="16" t="s">
        <v>32</v>
      </c>
      <c r="L19" s="16" t="s">
        <v>1939</v>
      </c>
      <c r="M19" s="16"/>
      <c r="N19" s="16"/>
      <c r="O19" s="16"/>
      <c r="P19" s="16"/>
      <c r="Q19" s="16">
        <v>1</v>
      </c>
    </row>
    <row r="20" spans="1:18" x14ac:dyDescent="0.25">
      <c r="A20" s="16"/>
      <c r="B20" s="16" t="s">
        <v>26</v>
      </c>
      <c r="C20" s="16" t="s">
        <v>1977</v>
      </c>
      <c r="D20" s="16" t="s">
        <v>1978</v>
      </c>
      <c r="E20" s="16" t="s">
        <v>1979</v>
      </c>
      <c r="F20" s="17">
        <v>5</v>
      </c>
      <c r="G20" s="17">
        <v>915</v>
      </c>
      <c r="H20" s="17">
        <v>25</v>
      </c>
      <c r="I20" s="17">
        <f t="shared" si="0"/>
        <v>890</v>
      </c>
      <c r="J20" s="16" t="s">
        <v>103</v>
      </c>
      <c r="K20" s="16" t="s">
        <v>32</v>
      </c>
      <c r="L20" s="16" t="s">
        <v>1939</v>
      </c>
      <c r="M20" s="16"/>
      <c r="N20" s="16"/>
      <c r="O20" s="16"/>
      <c r="P20" s="16"/>
      <c r="Q20" s="16">
        <v>1</v>
      </c>
    </row>
    <row r="21" spans="1:18" x14ac:dyDescent="0.25">
      <c r="A21" s="16"/>
      <c r="B21" s="16" t="s">
        <v>26</v>
      </c>
      <c r="C21" s="16" t="s">
        <v>1980</v>
      </c>
      <c r="D21" s="16" t="s">
        <v>1981</v>
      </c>
      <c r="E21" s="16" t="s">
        <v>1982</v>
      </c>
      <c r="F21" s="17">
        <v>4</v>
      </c>
      <c r="G21" s="17">
        <v>915</v>
      </c>
      <c r="H21" s="17">
        <v>25</v>
      </c>
      <c r="I21" s="17">
        <f t="shared" si="0"/>
        <v>890</v>
      </c>
      <c r="J21" s="16" t="s">
        <v>103</v>
      </c>
      <c r="K21" s="16" t="s">
        <v>32</v>
      </c>
      <c r="L21" s="16" t="s">
        <v>1939</v>
      </c>
      <c r="M21" s="16"/>
      <c r="N21" s="16"/>
      <c r="O21" s="16"/>
      <c r="P21" s="16"/>
      <c r="Q21" s="16">
        <v>1</v>
      </c>
    </row>
    <row r="22" spans="1:18" x14ac:dyDescent="0.25">
      <c r="A22" s="16"/>
      <c r="B22" s="16" t="s">
        <v>26</v>
      </c>
      <c r="C22" s="16" t="s">
        <v>1983</v>
      </c>
      <c r="D22" s="16" t="s">
        <v>1984</v>
      </c>
      <c r="E22" s="16" t="s">
        <v>1985</v>
      </c>
      <c r="F22" s="17">
        <v>7</v>
      </c>
      <c r="G22" s="17">
        <v>720</v>
      </c>
      <c r="H22" s="17">
        <v>30</v>
      </c>
      <c r="I22" s="17">
        <f t="shared" si="0"/>
        <v>690</v>
      </c>
      <c r="J22" s="16" t="s">
        <v>103</v>
      </c>
      <c r="K22" s="16" t="s">
        <v>32</v>
      </c>
      <c r="L22" s="16" t="s">
        <v>1939</v>
      </c>
      <c r="M22" s="16"/>
      <c r="N22" s="16"/>
      <c r="O22" s="16"/>
      <c r="P22" s="16"/>
      <c r="Q22" s="16">
        <v>1</v>
      </c>
    </row>
    <row r="23" spans="1:18" x14ac:dyDescent="0.25">
      <c r="A23" s="16"/>
      <c r="B23" s="16" t="s">
        <v>26</v>
      </c>
      <c r="C23" s="16" t="s">
        <v>1986</v>
      </c>
      <c r="D23" s="16" t="s">
        <v>1987</v>
      </c>
      <c r="E23" s="16" t="s">
        <v>1988</v>
      </c>
      <c r="F23" s="17">
        <v>8</v>
      </c>
      <c r="G23" s="17">
        <v>760</v>
      </c>
      <c r="H23" s="17">
        <v>30</v>
      </c>
      <c r="I23" s="17">
        <f t="shared" si="0"/>
        <v>730</v>
      </c>
      <c r="J23" s="16" t="s">
        <v>103</v>
      </c>
      <c r="K23" s="16" t="s">
        <v>32</v>
      </c>
      <c r="L23" s="16" t="s">
        <v>1939</v>
      </c>
      <c r="M23" s="16"/>
      <c r="N23" s="16"/>
      <c r="O23" s="16"/>
      <c r="P23" s="16"/>
      <c r="Q23" s="16">
        <v>1</v>
      </c>
    </row>
    <row r="24" spans="1:18" x14ac:dyDescent="0.25">
      <c r="A24" s="16"/>
      <c r="B24" s="16" t="s">
        <v>26</v>
      </c>
      <c r="C24" s="16" t="s">
        <v>1486</v>
      </c>
      <c r="D24" s="16" t="s">
        <v>1989</v>
      </c>
      <c r="E24" s="16" t="s">
        <v>1990</v>
      </c>
      <c r="F24" s="16" t="s">
        <v>243</v>
      </c>
      <c r="G24" s="17">
        <v>725</v>
      </c>
      <c r="H24" s="17">
        <v>35</v>
      </c>
      <c r="I24" s="17">
        <f t="shared" si="0"/>
        <v>690</v>
      </c>
      <c r="J24" s="16" t="s">
        <v>103</v>
      </c>
      <c r="K24" s="16" t="s">
        <v>32</v>
      </c>
      <c r="L24" s="16" t="s">
        <v>1939</v>
      </c>
      <c r="M24" s="16"/>
      <c r="N24" s="16"/>
      <c r="O24" s="16"/>
      <c r="P24" s="16"/>
      <c r="Q24" s="16">
        <v>1</v>
      </c>
    </row>
    <row r="25" spans="1:18" x14ac:dyDescent="0.25">
      <c r="A25" s="16"/>
      <c r="B25" s="16" t="s">
        <v>26</v>
      </c>
      <c r="C25" s="16" t="s">
        <v>1991</v>
      </c>
      <c r="D25" s="16" t="s">
        <v>1992</v>
      </c>
      <c r="E25" s="16" t="s">
        <v>1993</v>
      </c>
      <c r="F25" s="17">
        <v>10</v>
      </c>
      <c r="G25" s="17">
        <v>855</v>
      </c>
      <c r="H25" s="17">
        <v>25</v>
      </c>
      <c r="I25" s="17">
        <f t="shared" si="0"/>
        <v>830</v>
      </c>
      <c r="J25" s="16" t="s">
        <v>103</v>
      </c>
      <c r="K25" s="16" t="s">
        <v>32</v>
      </c>
      <c r="L25" s="16" t="s">
        <v>1939</v>
      </c>
      <c r="M25" s="16"/>
      <c r="N25" s="16"/>
      <c r="O25" s="16"/>
      <c r="P25" s="16"/>
      <c r="Q25" s="16">
        <v>1</v>
      </c>
    </row>
    <row r="26" spans="1:18" x14ac:dyDescent="0.25">
      <c r="A26" s="16"/>
      <c r="B26" s="16" t="s">
        <v>26</v>
      </c>
      <c r="C26" s="16" t="s">
        <v>1140</v>
      </c>
      <c r="D26" s="16" t="s">
        <v>1994</v>
      </c>
      <c r="E26" s="16" t="s">
        <v>1142</v>
      </c>
      <c r="F26" s="17">
        <v>7</v>
      </c>
      <c r="G26" s="17">
        <v>720</v>
      </c>
      <c r="H26" s="17">
        <v>30</v>
      </c>
      <c r="I26" s="17">
        <f t="shared" si="0"/>
        <v>690</v>
      </c>
      <c r="J26" s="16" t="s">
        <v>103</v>
      </c>
      <c r="K26" s="16" t="s">
        <v>32</v>
      </c>
      <c r="L26" s="16" t="s">
        <v>1939</v>
      </c>
      <c r="M26" s="16"/>
      <c r="N26" s="16"/>
      <c r="O26" s="16"/>
      <c r="P26" s="16"/>
      <c r="Q26" s="16">
        <v>1</v>
      </c>
    </row>
    <row r="28" spans="1:18" x14ac:dyDescent="0.25">
      <c r="D28" s="1">
        <f>COUNTA(D3:D26)</f>
        <v>22</v>
      </c>
      <c r="G28" s="1">
        <f t="shared" ref="G28:Q28" si="1">SUBTOTAL(9,G3:G26)</f>
        <v>19996</v>
      </c>
      <c r="H28" s="1">
        <f t="shared" si="1"/>
        <v>680</v>
      </c>
      <c r="I28" s="1">
        <f t="shared" si="1"/>
        <v>19316</v>
      </c>
      <c r="J28" s="1">
        <f t="shared" si="1"/>
        <v>0</v>
      </c>
      <c r="K28" s="1">
        <f t="shared" si="1"/>
        <v>0</v>
      </c>
      <c r="L28" s="1">
        <f t="shared" si="1"/>
        <v>0</v>
      </c>
      <c r="M28" s="1">
        <f t="shared" si="1"/>
        <v>0</v>
      </c>
      <c r="N28" s="1">
        <f t="shared" si="1"/>
        <v>0</v>
      </c>
      <c r="O28" s="1">
        <f t="shared" si="1"/>
        <v>0</v>
      </c>
      <c r="P28" s="1">
        <f t="shared" si="1"/>
        <v>0</v>
      </c>
      <c r="Q28" s="1">
        <f t="shared" si="1"/>
        <v>24</v>
      </c>
    </row>
    <row r="29" spans="1:18" x14ac:dyDescent="0.25">
      <c r="H29">
        <f>-4*17</f>
        <v>-68</v>
      </c>
    </row>
    <row r="30" spans="1:18" x14ac:dyDescent="0.25">
      <c r="A30" s="1" t="s">
        <v>26</v>
      </c>
      <c r="C30" s="34" t="s">
        <v>144</v>
      </c>
      <c r="D30" s="34"/>
      <c r="E30" s="4" t="s">
        <v>145</v>
      </c>
      <c r="H30">
        <f>-1*25</f>
        <v>-25</v>
      </c>
      <c r="K30" s="11" t="s">
        <v>32</v>
      </c>
      <c r="L30" s="11" t="s">
        <v>146</v>
      </c>
      <c r="M30" s="11" t="s">
        <v>145</v>
      </c>
      <c r="O30" s="4" t="s">
        <v>147</v>
      </c>
    </row>
    <row r="31" spans="1:18" x14ac:dyDescent="0.25">
      <c r="A31" t="s">
        <v>1939</v>
      </c>
      <c r="B31" s="3" t="s">
        <v>148</v>
      </c>
      <c r="C31" s="35">
        <f>SUMIFS(I$3:I$26,B$3:B$26,A$30,L$3:L$26,A$31)</f>
        <v>19316</v>
      </c>
      <c r="D31" s="35"/>
      <c r="E31" s="3">
        <f>SUMIFS(Q$3:Q$26,B$3:B$26,A$30,L$3:L$26,A$31)</f>
        <v>24</v>
      </c>
      <c r="F31" t="s">
        <v>149</v>
      </c>
      <c r="H31">
        <f>-1*30</f>
        <v>-30</v>
      </c>
      <c r="K31" t="s">
        <v>150</v>
      </c>
      <c r="L31">
        <f>SUMIFS(G$3:G$26,J$3:J$26,K$30)</f>
        <v>5596</v>
      </c>
      <c r="M31">
        <f>SUMIFS(Q$3:Q$26,J$3:J$26,K$30)-INT(COUNTIFS(J$3:J$26,K$30,M$3:M$26,"*gộp*")/2)</f>
        <v>7</v>
      </c>
      <c r="O31" t="s">
        <v>32</v>
      </c>
      <c r="P31">
        <f>L36</f>
        <v>5388</v>
      </c>
    </row>
    <row r="32" spans="1:18" x14ac:dyDescent="0.25">
      <c r="B32" s="2" t="s">
        <v>152</v>
      </c>
      <c r="C32" s="36">
        <v>0</v>
      </c>
      <c r="D32" s="36"/>
      <c r="K32" t="s">
        <v>153</v>
      </c>
      <c r="L32">
        <f>-SUMIFS(H$3:H$26,J$3:J$26,K$30)+M32*5</f>
        <v>-160</v>
      </c>
      <c r="M32">
        <f>SUMIFS(Q$3:Q$26,J$3:J$26,K$30)-INT(COUNTIFS(J$3:J$26,K$30,M$3:M$26,"*gộp*")/2)</f>
        <v>7</v>
      </c>
      <c r="O32" t="s">
        <v>1995</v>
      </c>
      <c r="P32">
        <f>L44</f>
        <v>6377</v>
      </c>
    </row>
    <row r="33" spans="2:16" x14ac:dyDescent="0.25">
      <c r="B33" s="2" t="s">
        <v>154</v>
      </c>
      <c r="C33" s="36">
        <f>-SUMIFS(I$3:I$26,B$3:B$26,A$30,P$3:P$26,"xx",N$3:N$26,"x")</f>
        <v>0</v>
      </c>
      <c r="D33" s="36"/>
      <c r="E33" s="2">
        <f>SUMIFS(Q$3:Q$26,B$3:B$26,A$30,P$3:P$26,"xx",N$3:N$26,"x")</f>
        <v>0</v>
      </c>
      <c r="K33" t="s">
        <v>155</v>
      </c>
      <c r="L33">
        <f>-M33*2</f>
        <v>-48</v>
      </c>
      <c r="M33">
        <f>E34-(COUNTIFS(M$3:M$26,"*gộp*")/2)-COUNTIFS(M$3:M$26,"*đơn trả*")-COUNTIFS(M$3:M$26,"*hàng tỉnh*")</f>
        <v>24</v>
      </c>
      <c r="O33" t="s">
        <v>103</v>
      </c>
      <c r="P33">
        <f>L52</f>
        <v>7650</v>
      </c>
    </row>
    <row r="34" spans="2:16" x14ac:dyDescent="0.25">
      <c r="B34" s="4" t="s">
        <v>156</v>
      </c>
      <c r="C34" s="34">
        <f>SUBTOTAL(9,C31:C33)</f>
        <v>19316</v>
      </c>
      <c r="D34" s="34"/>
      <c r="E34">
        <f>E31</f>
        <v>24</v>
      </c>
      <c r="K34" s="12" t="s">
        <v>157</v>
      </c>
      <c r="O34" t="s">
        <v>158</v>
      </c>
      <c r="P34">
        <f>-C38</f>
        <v>-19316</v>
      </c>
    </row>
    <row r="35" spans="2:16" x14ac:dyDescent="0.25">
      <c r="B35" s="2" t="s">
        <v>159</v>
      </c>
      <c r="C35" s="32"/>
      <c r="D35" s="32"/>
      <c r="K35" s="2" t="s">
        <v>160</v>
      </c>
      <c r="O35" s="4" t="s">
        <v>161</v>
      </c>
      <c r="P35" s="4">
        <f>SUBTOTAL(9,P31:P34)</f>
        <v>99</v>
      </c>
    </row>
    <row r="36" spans="2:16" x14ac:dyDescent="0.25">
      <c r="B36" s="13" t="s">
        <v>162</v>
      </c>
      <c r="C36" s="32"/>
      <c r="D36" s="32"/>
      <c r="L36" s="14">
        <f>SUBTOTAL(9,L31:L35)</f>
        <v>5388</v>
      </c>
      <c r="M36" s="14">
        <f>M31</f>
        <v>7</v>
      </c>
    </row>
    <row r="38" spans="2:16" x14ac:dyDescent="0.25">
      <c r="B38" s="1" t="s">
        <v>163</v>
      </c>
      <c r="C38" s="33">
        <f>C34+C35+C36</f>
        <v>19316</v>
      </c>
      <c r="D38" s="33"/>
      <c r="E38" s="1" t="s">
        <v>164</v>
      </c>
      <c r="K38" s="11" t="s">
        <v>1938</v>
      </c>
      <c r="L38" s="11" t="s">
        <v>146</v>
      </c>
      <c r="M38" s="11" t="s">
        <v>145</v>
      </c>
    </row>
    <row r="39" spans="2:16" x14ac:dyDescent="0.25">
      <c r="K39" t="s">
        <v>150</v>
      </c>
      <c r="L39">
        <f>SUMIFS(G$3:G$26,J$3:J$26,K$38)</f>
        <v>6500</v>
      </c>
      <c r="M39">
        <f>SUMIFS(Q$3:Q$26,J$3:J$26,K$38)-INT(COUNTIFS(J$3:J$26,K$38,M$3:M$26,"*gộp*")/2)</f>
        <v>6</v>
      </c>
    </row>
    <row r="40" spans="2:16" x14ac:dyDescent="0.25">
      <c r="K40" t="s">
        <v>153</v>
      </c>
      <c r="L40">
        <f>SUM(H29:H31)</f>
        <v>-123</v>
      </c>
      <c r="M40">
        <f>SUMIFS(Q$3:Q$26,J$3:J$26,K$38)-INT(COUNTIFS(J$3:J$26,K$38,M$3:M$26,"*gộp*")/2)</f>
        <v>6</v>
      </c>
    </row>
    <row r="41" spans="2:16" x14ac:dyDescent="0.25">
      <c r="K41" t="s">
        <v>155</v>
      </c>
    </row>
    <row r="42" spans="2:16" x14ac:dyDescent="0.25">
      <c r="K42" s="12" t="s">
        <v>157</v>
      </c>
    </row>
    <row r="43" spans="2:16" x14ac:dyDescent="0.25">
      <c r="K43" s="2" t="s">
        <v>160</v>
      </c>
    </row>
    <row r="44" spans="2:16" x14ac:dyDescent="0.25">
      <c r="L44" s="14">
        <f>SUBTOTAL(9,L39:L43)</f>
        <v>6377</v>
      </c>
      <c r="M44" s="14">
        <f>M39</f>
        <v>6</v>
      </c>
    </row>
    <row r="46" spans="2:16" x14ac:dyDescent="0.25">
      <c r="K46" s="11" t="s">
        <v>103</v>
      </c>
      <c r="L46" s="11" t="s">
        <v>146</v>
      </c>
      <c r="M46" s="11" t="s">
        <v>145</v>
      </c>
    </row>
    <row r="47" spans="2:16" x14ac:dyDescent="0.25">
      <c r="K47" t="s">
        <v>150</v>
      </c>
      <c r="L47">
        <f>SUMIFS(G$3:G$26,J$3:J$26,K$46)</f>
        <v>7900</v>
      </c>
      <c r="M47">
        <f>SUMIFS(Q$3:Q$26,J$3:J$26,K$46)-INT(COUNTIFS(J$3:J$26,K$46,M$3:M$26,"*gộp*")/2)</f>
        <v>11</v>
      </c>
    </row>
    <row r="48" spans="2:16" x14ac:dyDescent="0.25">
      <c r="K48" t="s">
        <v>153</v>
      </c>
      <c r="L48">
        <f>-SUMIFS(H$3:H$26,J$3:J$26,K$46)+M48*5</f>
        <v>-250</v>
      </c>
      <c r="M48">
        <f>SUMIFS(Q$3:Q$26,J$3:J$26,K$46)-INT(COUNTIFS(J$3:J$26,K$46,M$3:M$26,"*gộp*")/2)</f>
        <v>11</v>
      </c>
    </row>
    <row r="49" spans="11:13" x14ac:dyDescent="0.25">
      <c r="K49" t="s">
        <v>155</v>
      </c>
    </row>
    <row r="50" spans="11:13" x14ac:dyDescent="0.25">
      <c r="K50" s="12" t="s">
        <v>157</v>
      </c>
    </row>
    <row r="51" spans="11:13" x14ac:dyDescent="0.25">
      <c r="K51" s="2" t="s">
        <v>160</v>
      </c>
    </row>
    <row r="52" spans="11:13" x14ac:dyDescent="0.25">
      <c r="L52" s="14">
        <f>SUBTOTAL(9,L47:L51)</f>
        <v>7650</v>
      </c>
      <c r="M52" s="14">
        <f>M47</f>
        <v>11</v>
      </c>
    </row>
  </sheetData>
  <autoFilter ref="A2:P26" xr:uid="{00000000-0009-0000-0000-000016000000}">
    <sortState xmlns:xlrd2="http://schemas.microsoft.com/office/spreadsheetml/2017/richdata2" ref="A3:P26">
      <sortCondition ref="J2:J26"/>
    </sortState>
  </autoFilter>
  <mergeCells count="8">
    <mergeCell ref="C35:D35"/>
    <mergeCell ref="C36:D36"/>
    <mergeCell ref="C38:D38"/>
    <mergeCell ref="C30:D30"/>
    <mergeCell ref="C31:D31"/>
    <mergeCell ref="C32:D32"/>
    <mergeCell ref="C33:D33"/>
    <mergeCell ref="C34:D34"/>
  </mergeCells>
  <pageMargins left="0.75" right="0.75" top="0.75" bottom="0.5" header="0.5" footer="0.7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R56"/>
  <sheetViews>
    <sheetView workbookViewId="0"/>
  </sheetViews>
  <sheetFormatPr defaultRowHeight="15" x14ac:dyDescent="0.25"/>
  <cols>
    <col min="1" max="1" width="12.7109375" customWidth="1"/>
    <col min="2" max="2" width="17.7109375" customWidth="1"/>
    <col min="3" max="3" width="24.5703125" customWidth="1"/>
    <col min="4" max="4" width="9.85546875" customWidth="1"/>
    <col min="5" max="5" width="62.42578125" customWidth="1"/>
    <col min="6" max="6" width="10.855468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0.42578125" customWidth="1"/>
    <col min="13" max="13" width="8.7109375" customWidth="1"/>
    <col min="14" max="14" width="9.7109375" customWidth="1"/>
    <col min="15" max="15" width="10.42578125" customWidth="1"/>
    <col min="16" max="16" width="7" bestFit="1" customWidth="1"/>
  </cols>
  <sheetData>
    <row r="2" spans="1:18" x14ac:dyDescent="0.25">
      <c r="A2" s="15" t="s">
        <v>10</v>
      </c>
      <c r="B2" s="15" t="s">
        <v>11</v>
      </c>
      <c r="C2" s="15" t="s">
        <v>12</v>
      </c>
      <c r="D2" s="15" t="s">
        <v>13</v>
      </c>
      <c r="E2" s="15" t="s">
        <v>14</v>
      </c>
      <c r="F2" s="15" t="s">
        <v>15</v>
      </c>
      <c r="G2" s="15" t="s">
        <v>16</v>
      </c>
      <c r="H2" s="15" t="s">
        <v>17</v>
      </c>
      <c r="I2" s="15" t="s">
        <v>18</v>
      </c>
      <c r="J2" s="15" t="s">
        <v>19</v>
      </c>
      <c r="K2" s="15" t="s">
        <v>20</v>
      </c>
      <c r="L2" s="15" t="s">
        <v>21</v>
      </c>
      <c r="M2" s="15" t="s">
        <v>22</v>
      </c>
      <c r="N2" s="15" t="s">
        <v>23</v>
      </c>
      <c r="O2" s="15" t="s">
        <v>24</v>
      </c>
      <c r="P2" s="15" t="s">
        <v>25</v>
      </c>
      <c r="Q2" s="16"/>
    </row>
    <row r="3" spans="1:18" x14ac:dyDescent="0.25">
      <c r="A3" s="16" t="s">
        <v>141</v>
      </c>
      <c r="B3" s="16" t="s">
        <v>26</v>
      </c>
      <c r="C3" s="16" t="s">
        <v>1996</v>
      </c>
      <c r="D3" s="16"/>
      <c r="E3" s="16" t="s">
        <v>1997</v>
      </c>
      <c r="F3" s="17">
        <v>8</v>
      </c>
      <c r="G3" s="17">
        <v>0</v>
      </c>
      <c r="H3" s="17">
        <v>35</v>
      </c>
      <c r="I3" s="17">
        <f t="shared" ref="I3:I30" si="0">G3-H3</f>
        <v>-35</v>
      </c>
      <c r="J3" s="16" t="s">
        <v>1998</v>
      </c>
      <c r="K3" s="16" t="s">
        <v>32</v>
      </c>
      <c r="L3" s="16" t="s">
        <v>1999</v>
      </c>
      <c r="M3" s="16"/>
      <c r="N3" s="16"/>
      <c r="O3" s="16"/>
      <c r="P3" s="16"/>
      <c r="Q3" s="16">
        <v>1</v>
      </c>
      <c r="R3" s="10">
        <f t="shared" ref="R3:R8" si="1">H3</f>
        <v>35</v>
      </c>
    </row>
    <row r="4" spans="1:18" x14ac:dyDescent="0.25">
      <c r="A4" s="16"/>
      <c r="B4" s="16" t="s">
        <v>26</v>
      </c>
      <c r="C4" s="16" t="s">
        <v>2000</v>
      </c>
      <c r="D4" s="16" t="s">
        <v>2001</v>
      </c>
      <c r="E4" s="16" t="s">
        <v>2002</v>
      </c>
      <c r="F4" s="17">
        <v>6</v>
      </c>
      <c r="G4" s="17">
        <v>0</v>
      </c>
      <c r="H4" s="17">
        <v>25</v>
      </c>
      <c r="I4" s="17">
        <f t="shared" si="0"/>
        <v>-25</v>
      </c>
      <c r="J4" s="16" t="s">
        <v>1998</v>
      </c>
      <c r="K4" s="16" t="s">
        <v>32</v>
      </c>
      <c r="L4" s="16" t="s">
        <v>1999</v>
      </c>
      <c r="M4" s="18" t="s">
        <v>288</v>
      </c>
      <c r="N4" s="16"/>
      <c r="O4" s="16"/>
      <c r="P4" s="16"/>
      <c r="Q4" s="16">
        <v>1</v>
      </c>
      <c r="R4" s="10">
        <f t="shared" si="1"/>
        <v>25</v>
      </c>
    </row>
    <row r="5" spans="1:18" x14ac:dyDescent="0.25">
      <c r="A5" s="16"/>
      <c r="B5" s="16" t="s">
        <v>26</v>
      </c>
      <c r="C5" s="16" t="s">
        <v>2000</v>
      </c>
      <c r="D5" s="16" t="s">
        <v>2003</v>
      </c>
      <c r="E5" s="16" t="s">
        <v>2002</v>
      </c>
      <c r="F5" s="17">
        <v>6</v>
      </c>
      <c r="G5" s="17">
        <v>0</v>
      </c>
      <c r="H5" s="17">
        <v>0</v>
      </c>
      <c r="I5" s="17">
        <f t="shared" si="0"/>
        <v>0</v>
      </c>
      <c r="J5" s="16" t="s">
        <v>1998</v>
      </c>
      <c r="K5" s="16" t="s">
        <v>32</v>
      </c>
      <c r="L5" s="16" t="s">
        <v>1999</v>
      </c>
      <c r="M5" s="18" t="s">
        <v>288</v>
      </c>
      <c r="N5" s="16"/>
      <c r="O5" s="16"/>
      <c r="P5" s="16"/>
      <c r="Q5" s="16">
        <v>1</v>
      </c>
      <c r="R5" s="10">
        <f t="shared" si="1"/>
        <v>0</v>
      </c>
    </row>
    <row r="6" spans="1:18" x14ac:dyDescent="0.25">
      <c r="A6" s="16"/>
      <c r="B6" s="16" t="s">
        <v>26</v>
      </c>
      <c r="C6" s="16" t="s">
        <v>1711</v>
      </c>
      <c r="D6" s="16" t="s">
        <v>2004</v>
      </c>
      <c r="E6" s="16" t="s">
        <v>2005</v>
      </c>
      <c r="F6" s="16" t="s">
        <v>51</v>
      </c>
      <c r="G6" s="17">
        <v>0</v>
      </c>
      <c r="H6" s="17">
        <v>30</v>
      </c>
      <c r="I6" s="17">
        <f t="shared" si="0"/>
        <v>-30</v>
      </c>
      <c r="J6" s="16" t="s">
        <v>1998</v>
      </c>
      <c r="K6" s="16" t="s">
        <v>32</v>
      </c>
      <c r="L6" s="16" t="s">
        <v>1999</v>
      </c>
      <c r="M6" s="18" t="s">
        <v>288</v>
      </c>
      <c r="N6" s="16"/>
      <c r="O6" s="16"/>
      <c r="P6" s="16"/>
      <c r="Q6" s="16">
        <v>1</v>
      </c>
      <c r="R6" s="10">
        <f t="shared" si="1"/>
        <v>30</v>
      </c>
    </row>
    <row r="7" spans="1:18" x14ac:dyDescent="0.25">
      <c r="A7" s="16"/>
      <c r="B7" s="16" t="s">
        <v>26</v>
      </c>
      <c r="C7" s="16" t="s">
        <v>1711</v>
      </c>
      <c r="D7" s="16" t="s">
        <v>2004</v>
      </c>
      <c r="E7" s="16" t="s">
        <v>1713</v>
      </c>
      <c r="F7" s="16" t="s">
        <v>51</v>
      </c>
      <c r="G7" s="17">
        <v>0</v>
      </c>
      <c r="H7" s="17">
        <v>0</v>
      </c>
      <c r="I7" s="17">
        <f t="shared" si="0"/>
        <v>0</v>
      </c>
      <c r="J7" s="16" t="s">
        <v>1998</v>
      </c>
      <c r="K7" s="16" t="s">
        <v>32</v>
      </c>
      <c r="L7" s="16" t="s">
        <v>1999</v>
      </c>
      <c r="M7" s="18" t="s">
        <v>288</v>
      </c>
      <c r="N7" s="16"/>
      <c r="O7" s="16"/>
      <c r="P7" s="16"/>
      <c r="Q7" s="16">
        <v>1</v>
      </c>
      <c r="R7" s="10">
        <f t="shared" si="1"/>
        <v>0</v>
      </c>
    </row>
    <row r="8" spans="1:18" x14ac:dyDescent="0.25">
      <c r="A8" s="16"/>
      <c r="B8" s="16" t="s">
        <v>26</v>
      </c>
      <c r="C8" s="16" t="s">
        <v>2006</v>
      </c>
      <c r="D8" s="16" t="s">
        <v>2007</v>
      </c>
      <c r="E8" s="16" t="s">
        <v>2008</v>
      </c>
      <c r="F8" s="16" t="s">
        <v>93</v>
      </c>
      <c r="G8" s="17">
        <v>0</v>
      </c>
      <c r="H8" s="17">
        <v>25</v>
      </c>
      <c r="I8" s="17">
        <f t="shared" si="0"/>
        <v>-25</v>
      </c>
      <c r="J8" s="16" t="s">
        <v>1998</v>
      </c>
      <c r="K8" s="16" t="s">
        <v>32</v>
      </c>
      <c r="L8" s="16" t="s">
        <v>1999</v>
      </c>
      <c r="M8" s="16"/>
      <c r="N8" s="16"/>
      <c r="O8" s="16"/>
      <c r="P8" s="16"/>
      <c r="Q8" s="16">
        <v>1</v>
      </c>
      <c r="R8" s="10">
        <f t="shared" si="1"/>
        <v>25</v>
      </c>
    </row>
    <row r="9" spans="1:18" x14ac:dyDescent="0.25">
      <c r="A9" s="16"/>
      <c r="B9" s="16" t="s">
        <v>26</v>
      </c>
      <c r="C9" s="16" t="s">
        <v>2009</v>
      </c>
      <c r="D9" s="16" t="s">
        <v>2010</v>
      </c>
      <c r="E9" s="16" t="s">
        <v>633</v>
      </c>
      <c r="F9" s="17">
        <v>6</v>
      </c>
      <c r="G9" s="17">
        <v>605</v>
      </c>
      <c r="H9" s="17">
        <v>25</v>
      </c>
      <c r="I9" s="17">
        <f t="shared" si="0"/>
        <v>580</v>
      </c>
      <c r="J9" s="16" t="s">
        <v>1998</v>
      </c>
      <c r="K9" s="16" t="s">
        <v>32</v>
      </c>
      <c r="L9" s="16" t="s">
        <v>1999</v>
      </c>
      <c r="M9" s="16"/>
      <c r="N9" s="16"/>
      <c r="O9" s="16"/>
      <c r="P9" s="16"/>
      <c r="Q9" s="16">
        <v>1</v>
      </c>
    </row>
    <row r="10" spans="1:18" x14ac:dyDescent="0.25">
      <c r="A10" s="16"/>
      <c r="B10" s="16" t="s">
        <v>26</v>
      </c>
      <c r="C10" s="16" t="s">
        <v>2011</v>
      </c>
      <c r="D10" s="16" t="s">
        <v>2012</v>
      </c>
      <c r="E10" s="16" t="s">
        <v>2013</v>
      </c>
      <c r="F10" s="17">
        <v>6</v>
      </c>
      <c r="G10" s="17">
        <v>885</v>
      </c>
      <c r="H10" s="17">
        <v>25</v>
      </c>
      <c r="I10" s="17">
        <f t="shared" si="0"/>
        <v>860</v>
      </c>
      <c r="J10" s="16" t="s">
        <v>1998</v>
      </c>
      <c r="K10" s="16" t="s">
        <v>32</v>
      </c>
      <c r="L10" s="16" t="s">
        <v>1999</v>
      </c>
      <c r="M10" s="16"/>
      <c r="N10" s="16"/>
      <c r="O10" s="16"/>
      <c r="P10" s="16"/>
      <c r="Q10" s="16">
        <v>1</v>
      </c>
    </row>
    <row r="11" spans="1:18" x14ac:dyDescent="0.25">
      <c r="A11" s="16"/>
      <c r="B11" s="16" t="s">
        <v>26</v>
      </c>
      <c r="C11" s="16" t="s">
        <v>2014</v>
      </c>
      <c r="D11" s="16" t="s">
        <v>2015</v>
      </c>
      <c r="E11" s="16" t="s">
        <v>2016</v>
      </c>
      <c r="F11" s="16" t="s">
        <v>30</v>
      </c>
      <c r="G11" s="17">
        <v>1805</v>
      </c>
      <c r="H11" s="17">
        <v>25</v>
      </c>
      <c r="I11" s="17">
        <f t="shared" si="0"/>
        <v>1780</v>
      </c>
      <c r="J11" s="16" t="s">
        <v>1998</v>
      </c>
      <c r="K11" s="16" t="s">
        <v>32</v>
      </c>
      <c r="L11" s="16" t="s">
        <v>1999</v>
      </c>
      <c r="M11" s="16"/>
      <c r="N11" s="16"/>
      <c r="O11" s="16"/>
      <c r="P11" s="16"/>
      <c r="Q11" s="16">
        <v>1</v>
      </c>
    </row>
    <row r="12" spans="1:18" x14ac:dyDescent="0.25">
      <c r="A12" s="16"/>
      <c r="B12" s="16" t="s">
        <v>26</v>
      </c>
      <c r="C12" s="16" t="s">
        <v>2017</v>
      </c>
      <c r="D12" s="16" t="s">
        <v>2018</v>
      </c>
      <c r="E12" s="16" t="s">
        <v>2019</v>
      </c>
      <c r="F12" s="16" t="s">
        <v>93</v>
      </c>
      <c r="G12" s="17">
        <v>855</v>
      </c>
      <c r="H12" s="17">
        <v>25</v>
      </c>
      <c r="I12" s="17">
        <f t="shared" si="0"/>
        <v>830</v>
      </c>
      <c r="J12" s="16" t="s">
        <v>1998</v>
      </c>
      <c r="K12" s="16" t="s">
        <v>32</v>
      </c>
      <c r="L12" s="16" t="s">
        <v>1999</v>
      </c>
      <c r="M12" s="16"/>
      <c r="N12" s="16"/>
      <c r="O12" s="16"/>
      <c r="P12" s="16"/>
      <c r="Q12" s="16">
        <v>1</v>
      </c>
    </row>
    <row r="13" spans="1:18" x14ac:dyDescent="0.25">
      <c r="A13" s="16"/>
      <c r="B13" s="16" t="s">
        <v>26</v>
      </c>
      <c r="C13" s="16" t="s">
        <v>2020</v>
      </c>
      <c r="D13" s="16" t="s">
        <v>2021</v>
      </c>
      <c r="E13" s="16" t="s">
        <v>2022</v>
      </c>
      <c r="F13" s="16" t="s">
        <v>51</v>
      </c>
      <c r="G13" s="17">
        <v>0</v>
      </c>
      <c r="H13" s="17">
        <v>30</v>
      </c>
      <c r="I13" s="17">
        <f t="shared" si="0"/>
        <v>-30</v>
      </c>
      <c r="J13" s="16" t="s">
        <v>1998</v>
      </c>
      <c r="K13" s="16" t="s">
        <v>32</v>
      </c>
      <c r="L13" s="16" t="s">
        <v>1999</v>
      </c>
      <c r="M13" s="16"/>
      <c r="N13" s="16"/>
      <c r="O13" s="16"/>
      <c r="P13" s="16"/>
      <c r="Q13" s="16">
        <v>1</v>
      </c>
      <c r="R13" s="10">
        <f>H13</f>
        <v>30</v>
      </c>
    </row>
    <row r="14" spans="1:18" x14ac:dyDescent="0.25">
      <c r="A14" s="16" t="s">
        <v>141</v>
      </c>
      <c r="B14" s="16" t="s">
        <v>26</v>
      </c>
      <c r="C14" s="16" t="s">
        <v>551</v>
      </c>
      <c r="D14" s="16"/>
      <c r="E14" s="16" t="s">
        <v>994</v>
      </c>
      <c r="F14" s="16" t="s">
        <v>82</v>
      </c>
      <c r="G14" s="17">
        <v>0</v>
      </c>
      <c r="H14" s="17">
        <v>30</v>
      </c>
      <c r="I14" s="17">
        <f t="shared" si="0"/>
        <v>-30</v>
      </c>
      <c r="J14" s="16" t="s">
        <v>32</v>
      </c>
      <c r="K14" s="16" t="s">
        <v>32</v>
      </c>
      <c r="L14" s="16" t="s">
        <v>1999</v>
      </c>
      <c r="M14" s="16"/>
      <c r="N14" s="16"/>
      <c r="O14" s="16"/>
      <c r="P14" s="16"/>
      <c r="Q14" s="16">
        <v>1</v>
      </c>
      <c r="R14" s="10">
        <f>H14</f>
        <v>30</v>
      </c>
    </row>
    <row r="15" spans="1:18" x14ac:dyDescent="0.25">
      <c r="A15" s="16" t="s">
        <v>141</v>
      </c>
      <c r="B15" s="16" t="s">
        <v>26</v>
      </c>
      <c r="C15" s="16" t="s">
        <v>204</v>
      </c>
      <c r="D15" s="16"/>
      <c r="E15" s="16" t="s">
        <v>205</v>
      </c>
      <c r="F15" s="16" t="s">
        <v>82</v>
      </c>
      <c r="G15" s="17">
        <v>2750</v>
      </c>
      <c r="H15" s="17">
        <v>30</v>
      </c>
      <c r="I15" s="17">
        <f t="shared" si="0"/>
        <v>2720</v>
      </c>
      <c r="J15" s="16" t="s">
        <v>32</v>
      </c>
      <c r="K15" s="16" t="s">
        <v>32</v>
      </c>
      <c r="L15" s="16" t="s">
        <v>1999</v>
      </c>
      <c r="M15" s="16"/>
      <c r="N15" s="16"/>
      <c r="O15" s="16"/>
      <c r="P15" s="16"/>
      <c r="Q15" s="16">
        <v>1</v>
      </c>
    </row>
    <row r="16" spans="1:18" x14ac:dyDescent="0.25">
      <c r="A16" s="16"/>
      <c r="B16" s="16" t="s">
        <v>26</v>
      </c>
      <c r="C16" s="16" t="s">
        <v>2023</v>
      </c>
      <c r="D16" s="16" t="s">
        <v>2024</v>
      </c>
      <c r="E16" s="16" t="s">
        <v>2025</v>
      </c>
      <c r="F16" s="16" t="s">
        <v>93</v>
      </c>
      <c r="G16" s="17">
        <v>0</v>
      </c>
      <c r="H16" s="17">
        <v>25</v>
      </c>
      <c r="I16" s="17">
        <f t="shared" si="0"/>
        <v>-25</v>
      </c>
      <c r="J16" s="16" t="s">
        <v>32</v>
      </c>
      <c r="K16" s="16" t="s">
        <v>32</v>
      </c>
      <c r="L16" s="16" t="s">
        <v>1999</v>
      </c>
      <c r="M16" s="16"/>
      <c r="N16" s="16"/>
      <c r="O16" s="16"/>
      <c r="P16" s="16"/>
      <c r="Q16" s="16">
        <v>1</v>
      </c>
      <c r="R16" s="10">
        <f>H16</f>
        <v>25</v>
      </c>
    </row>
    <row r="17" spans="1:18" x14ac:dyDescent="0.25">
      <c r="A17" s="16"/>
      <c r="B17" s="16" t="s">
        <v>26</v>
      </c>
      <c r="C17" s="16" t="s">
        <v>2026</v>
      </c>
      <c r="D17" s="16" t="s">
        <v>2027</v>
      </c>
      <c r="E17" s="16" t="s">
        <v>2028</v>
      </c>
      <c r="F17" s="17">
        <v>9</v>
      </c>
      <c r="G17" s="17">
        <v>1120</v>
      </c>
      <c r="H17" s="17">
        <v>30</v>
      </c>
      <c r="I17" s="17">
        <f t="shared" si="0"/>
        <v>1090</v>
      </c>
      <c r="J17" s="16" t="s">
        <v>32</v>
      </c>
      <c r="K17" s="16" t="s">
        <v>32</v>
      </c>
      <c r="L17" s="16" t="s">
        <v>1999</v>
      </c>
      <c r="M17" s="16"/>
      <c r="N17" s="16"/>
      <c r="O17" s="16"/>
      <c r="P17" s="16"/>
      <c r="Q17" s="16">
        <v>1</v>
      </c>
    </row>
    <row r="18" spans="1:18" x14ac:dyDescent="0.25">
      <c r="A18" s="16"/>
      <c r="B18" s="16" t="s">
        <v>26</v>
      </c>
      <c r="C18" s="16" t="s">
        <v>2029</v>
      </c>
      <c r="D18" s="16" t="s">
        <v>2030</v>
      </c>
      <c r="E18" s="16" t="s">
        <v>2031</v>
      </c>
      <c r="F18" s="17">
        <v>2</v>
      </c>
      <c r="G18" s="17">
        <v>0</v>
      </c>
      <c r="H18" s="17">
        <v>30</v>
      </c>
      <c r="I18" s="17">
        <f t="shared" si="0"/>
        <v>-30</v>
      </c>
      <c r="J18" s="16" t="s">
        <v>32</v>
      </c>
      <c r="K18" s="16" t="s">
        <v>32</v>
      </c>
      <c r="L18" s="16" t="s">
        <v>1999</v>
      </c>
      <c r="M18" s="16"/>
      <c r="N18" s="16"/>
      <c r="O18" s="16"/>
      <c r="P18" s="16"/>
      <c r="Q18" s="16">
        <v>1</v>
      </c>
      <c r="R18" s="10">
        <f>H18</f>
        <v>30</v>
      </c>
    </row>
    <row r="19" spans="1:18" x14ac:dyDescent="0.25">
      <c r="A19" s="16"/>
      <c r="B19" s="16" t="s">
        <v>26</v>
      </c>
      <c r="C19" s="16" t="s">
        <v>2032</v>
      </c>
      <c r="D19" s="16" t="s">
        <v>2033</v>
      </c>
      <c r="E19" s="16" t="s">
        <v>2034</v>
      </c>
      <c r="F19" s="16" t="s">
        <v>89</v>
      </c>
      <c r="G19" s="17">
        <v>860</v>
      </c>
      <c r="H19" s="17">
        <v>30</v>
      </c>
      <c r="I19" s="17">
        <f t="shared" si="0"/>
        <v>830</v>
      </c>
      <c r="J19" s="16" t="s">
        <v>32</v>
      </c>
      <c r="K19" s="16" t="s">
        <v>32</v>
      </c>
      <c r="L19" s="16" t="s">
        <v>1999</v>
      </c>
      <c r="M19" s="16"/>
      <c r="N19" s="16"/>
      <c r="O19" s="16"/>
      <c r="P19" s="16"/>
      <c r="Q19" s="16">
        <v>1</v>
      </c>
    </row>
    <row r="20" spans="1:18" x14ac:dyDescent="0.25">
      <c r="A20" s="16"/>
      <c r="B20" s="16" t="s">
        <v>26</v>
      </c>
      <c r="C20" s="16" t="s">
        <v>2035</v>
      </c>
      <c r="D20" s="16" t="s">
        <v>2036</v>
      </c>
      <c r="E20" s="16" t="s">
        <v>2037</v>
      </c>
      <c r="F20" s="17">
        <v>9</v>
      </c>
      <c r="G20" s="17">
        <v>720</v>
      </c>
      <c r="H20" s="17">
        <v>30</v>
      </c>
      <c r="I20" s="17">
        <f t="shared" si="0"/>
        <v>690</v>
      </c>
      <c r="J20" s="16" t="s">
        <v>32</v>
      </c>
      <c r="K20" s="16" t="s">
        <v>32</v>
      </c>
      <c r="L20" s="16" t="s">
        <v>1999</v>
      </c>
      <c r="M20" s="16"/>
      <c r="N20" s="16"/>
      <c r="O20" s="16"/>
      <c r="P20" s="16"/>
      <c r="Q20" s="16">
        <v>1</v>
      </c>
    </row>
    <row r="21" spans="1:18" x14ac:dyDescent="0.25">
      <c r="A21" s="16"/>
      <c r="B21" s="16" t="s">
        <v>26</v>
      </c>
      <c r="C21" s="16" t="s">
        <v>2038</v>
      </c>
      <c r="D21" s="16" t="s">
        <v>2039</v>
      </c>
      <c r="E21" s="16" t="s">
        <v>2040</v>
      </c>
      <c r="F21" s="16" t="s">
        <v>75</v>
      </c>
      <c r="G21" s="17">
        <v>1530</v>
      </c>
      <c r="H21" s="17">
        <v>20</v>
      </c>
      <c r="I21" s="17">
        <f t="shared" si="0"/>
        <v>1510</v>
      </c>
      <c r="J21" s="16" t="s">
        <v>32</v>
      </c>
      <c r="K21" s="16" t="s">
        <v>32</v>
      </c>
      <c r="L21" s="16" t="s">
        <v>1999</v>
      </c>
      <c r="M21" s="16"/>
      <c r="N21" s="16"/>
      <c r="O21" s="16"/>
      <c r="P21" s="16"/>
      <c r="Q21" s="16">
        <v>1</v>
      </c>
    </row>
    <row r="22" spans="1:18" x14ac:dyDescent="0.25">
      <c r="A22" s="16"/>
      <c r="B22" s="16" t="s">
        <v>26</v>
      </c>
      <c r="C22" s="16" t="s">
        <v>2041</v>
      </c>
      <c r="D22" s="16" t="s">
        <v>2042</v>
      </c>
      <c r="E22" s="16" t="s">
        <v>2043</v>
      </c>
      <c r="F22" s="17">
        <v>2</v>
      </c>
      <c r="G22" s="17">
        <v>1010</v>
      </c>
      <c r="H22" s="17">
        <v>30</v>
      </c>
      <c r="I22" s="17">
        <f t="shared" si="0"/>
        <v>980</v>
      </c>
      <c r="J22" s="16" t="s">
        <v>32</v>
      </c>
      <c r="K22" s="16" t="s">
        <v>32</v>
      </c>
      <c r="L22" s="16" t="s">
        <v>1999</v>
      </c>
      <c r="M22" s="16"/>
      <c r="N22" s="16"/>
      <c r="O22" s="16"/>
      <c r="P22" s="16"/>
      <c r="Q22" s="16">
        <v>1</v>
      </c>
    </row>
    <row r="23" spans="1:18" x14ac:dyDescent="0.25">
      <c r="A23" s="16"/>
      <c r="B23" s="16" t="s">
        <v>26</v>
      </c>
      <c r="C23" s="16" t="s">
        <v>737</v>
      </c>
      <c r="D23" s="16" t="s">
        <v>2044</v>
      </c>
      <c r="E23" s="16" t="s">
        <v>2045</v>
      </c>
      <c r="F23" s="16" t="s">
        <v>75</v>
      </c>
      <c r="G23" s="17">
        <v>1410</v>
      </c>
      <c r="H23" s="17">
        <v>20</v>
      </c>
      <c r="I23" s="17">
        <f t="shared" si="0"/>
        <v>1390</v>
      </c>
      <c r="J23" s="16" t="s">
        <v>32</v>
      </c>
      <c r="K23" s="16" t="s">
        <v>32</v>
      </c>
      <c r="L23" s="16" t="s">
        <v>1999</v>
      </c>
      <c r="M23" s="16"/>
      <c r="N23" s="16"/>
      <c r="O23" s="16"/>
      <c r="P23" s="16"/>
      <c r="Q23" s="16">
        <v>1</v>
      </c>
    </row>
    <row r="24" spans="1:18" x14ac:dyDescent="0.25">
      <c r="A24" s="16"/>
      <c r="B24" s="16" t="s">
        <v>26</v>
      </c>
      <c r="C24" s="16" t="s">
        <v>889</v>
      </c>
      <c r="D24" s="16" t="s">
        <v>2046</v>
      </c>
      <c r="E24" s="16" t="s">
        <v>891</v>
      </c>
      <c r="F24" s="16" t="s">
        <v>82</v>
      </c>
      <c r="G24" s="17">
        <v>1205</v>
      </c>
      <c r="H24" s="17">
        <v>25</v>
      </c>
      <c r="I24" s="17">
        <f t="shared" si="0"/>
        <v>1180</v>
      </c>
      <c r="J24" s="16" t="s">
        <v>32</v>
      </c>
      <c r="K24" s="16" t="s">
        <v>32</v>
      </c>
      <c r="L24" s="16" t="s">
        <v>1999</v>
      </c>
      <c r="M24" s="16"/>
      <c r="N24" s="16"/>
      <c r="O24" s="16"/>
      <c r="P24" s="16"/>
      <c r="Q24" s="16">
        <v>1</v>
      </c>
    </row>
    <row r="25" spans="1:18" x14ac:dyDescent="0.25">
      <c r="A25" s="16"/>
      <c r="B25" s="16" t="s">
        <v>26</v>
      </c>
      <c r="C25" s="16" t="s">
        <v>2047</v>
      </c>
      <c r="D25" s="16" t="s">
        <v>2048</v>
      </c>
      <c r="E25" s="16" t="s">
        <v>2049</v>
      </c>
      <c r="F25" s="17">
        <v>9</v>
      </c>
      <c r="G25" s="17">
        <v>30</v>
      </c>
      <c r="H25" s="17">
        <v>30</v>
      </c>
      <c r="I25" s="17">
        <f t="shared" si="0"/>
        <v>0</v>
      </c>
      <c r="J25" s="16" t="s">
        <v>32</v>
      </c>
      <c r="K25" s="16" t="s">
        <v>32</v>
      </c>
      <c r="L25" s="16" t="s">
        <v>1999</v>
      </c>
      <c r="M25" s="16"/>
      <c r="N25" s="16"/>
      <c r="O25" s="16"/>
      <c r="P25" s="16"/>
      <c r="Q25" s="16">
        <v>1</v>
      </c>
    </row>
    <row r="26" spans="1:18" x14ac:dyDescent="0.25">
      <c r="A26" s="16"/>
      <c r="B26" s="16" t="s">
        <v>26</v>
      </c>
      <c r="C26" s="16" t="s">
        <v>2050</v>
      </c>
      <c r="D26" s="16" t="s">
        <v>2051</v>
      </c>
      <c r="E26" s="16" t="s">
        <v>2052</v>
      </c>
      <c r="F26" s="17">
        <v>3</v>
      </c>
      <c r="G26" s="17">
        <v>1575</v>
      </c>
      <c r="H26" s="17">
        <v>25</v>
      </c>
      <c r="I26" s="17">
        <f t="shared" si="0"/>
        <v>1550</v>
      </c>
      <c r="J26" s="16" t="s">
        <v>103</v>
      </c>
      <c r="K26" s="16" t="s">
        <v>32</v>
      </c>
      <c r="L26" s="16" t="s">
        <v>1999</v>
      </c>
      <c r="M26" s="16"/>
      <c r="N26" s="16"/>
      <c r="O26" s="16"/>
      <c r="P26" s="16"/>
      <c r="Q26" s="16">
        <v>1</v>
      </c>
    </row>
    <row r="27" spans="1:18" x14ac:dyDescent="0.25">
      <c r="A27" s="16"/>
      <c r="B27" s="16" t="s">
        <v>26</v>
      </c>
      <c r="C27" s="16" t="s">
        <v>2053</v>
      </c>
      <c r="D27" s="16" t="s">
        <v>2054</v>
      </c>
      <c r="E27" s="16" t="s">
        <v>2055</v>
      </c>
      <c r="F27" s="16" t="s">
        <v>40</v>
      </c>
      <c r="G27" s="17">
        <v>715</v>
      </c>
      <c r="H27" s="17">
        <v>35</v>
      </c>
      <c r="I27" s="17">
        <f t="shared" si="0"/>
        <v>680</v>
      </c>
      <c r="J27" s="16" t="s">
        <v>103</v>
      </c>
      <c r="K27" s="16" t="s">
        <v>32</v>
      </c>
      <c r="L27" s="16" t="s">
        <v>1999</v>
      </c>
      <c r="M27" s="16"/>
      <c r="N27" s="16"/>
      <c r="O27" s="16"/>
      <c r="P27" s="16"/>
      <c r="Q27" s="16">
        <v>1</v>
      </c>
    </row>
    <row r="28" spans="1:18" x14ac:dyDescent="0.25">
      <c r="A28" s="16"/>
      <c r="B28" s="16" t="s">
        <v>26</v>
      </c>
      <c r="C28" s="16" t="s">
        <v>2056</v>
      </c>
      <c r="D28" s="16" t="s">
        <v>2057</v>
      </c>
      <c r="E28" s="16" t="s">
        <v>2058</v>
      </c>
      <c r="F28" s="17">
        <v>8</v>
      </c>
      <c r="G28" s="17">
        <v>1390</v>
      </c>
      <c r="H28" s="17">
        <v>30</v>
      </c>
      <c r="I28" s="17">
        <f t="shared" si="0"/>
        <v>1360</v>
      </c>
      <c r="J28" s="16" t="s">
        <v>103</v>
      </c>
      <c r="K28" s="16" t="s">
        <v>32</v>
      </c>
      <c r="L28" s="16" t="s">
        <v>1999</v>
      </c>
      <c r="M28" s="16"/>
      <c r="N28" s="16"/>
      <c r="O28" s="16"/>
      <c r="P28" s="16"/>
      <c r="Q28" s="16">
        <v>1</v>
      </c>
    </row>
    <row r="29" spans="1:18" x14ac:dyDescent="0.25">
      <c r="A29" s="16"/>
      <c r="B29" s="16" t="s">
        <v>26</v>
      </c>
      <c r="C29" s="16" t="s">
        <v>1437</v>
      </c>
      <c r="D29" s="16" t="s">
        <v>2059</v>
      </c>
      <c r="E29" s="16" t="s">
        <v>2060</v>
      </c>
      <c r="F29" s="17">
        <v>10</v>
      </c>
      <c r="G29" s="17">
        <v>0</v>
      </c>
      <c r="H29" s="17">
        <v>25</v>
      </c>
      <c r="I29" s="17">
        <f t="shared" si="0"/>
        <v>-25</v>
      </c>
      <c r="J29" s="16" t="s">
        <v>103</v>
      </c>
      <c r="K29" s="16" t="s">
        <v>32</v>
      </c>
      <c r="L29" s="16" t="s">
        <v>1999</v>
      </c>
      <c r="M29" s="16"/>
      <c r="N29" s="16"/>
      <c r="O29" s="16"/>
      <c r="P29" s="16"/>
      <c r="Q29" s="16">
        <v>1</v>
      </c>
      <c r="R29" s="10">
        <f>H29</f>
        <v>25</v>
      </c>
    </row>
    <row r="30" spans="1:18" s="21" customFormat="1" x14ac:dyDescent="0.25">
      <c r="A30" s="19"/>
      <c r="B30" s="19" t="s">
        <v>26</v>
      </c>
      <c r="C30" s="19" t="s">
        <v>240</v>
      </c>
      <c r="D30" s="19" t="s">
        <v>2061</v>
      </c>
      <c r="E30" s="19" t="s">
        <v>242</v>
      </c>
      <c r="F30" s="19" t="s">
        <v>243</v>
      </c>
      <c r="G30" s="20">
        <v>35</v>
      </c>
      <c r="H30" s="20">
        <v>35</v>
      </c>
      <c r="I30" s="20">
        <f t="shared" si="0"/>
        <v>0</v>
      </c>
      <c r="J30" s="19" t="s">
        <v>103</v>
      </c>
      <c r="K30" s="19" t="s">
        <v>32</v>
      </c>
      <c r="L30" s="19" t="s">
        <v>1999</v>
      </c>
      <c r="M30" s="19" t="s">
        <v>68</v>
      </c>
      <c r="N30" s="19"/>
      <c r="O30" s="19"/>
      <c r="P30" s="19"/>
      <c r="Q30" s="19">
        <v>1</v>
      </c>
    </row>
    <row r="32" spans="1:18" x14ac:dyDescent="0.25">
      <c r="D32" s="1">
        <f>COUNTA(D3:D30)</f>
        <v>25</v>
      </c>
      <c r="G32" s="1">
        <f t="shared" ref="G32:Q32" si="2">SUBTOTAL(9,G3:G30)</f>
        <v>18500</v>
      </c>
      <c r="H32" s="1">
        <f t="shared" si="2"/>
        <v>725</v>
      </c>
      <c r="I32" s="1">
        <f t="shared" si="2"/>
        <v>17775</v>
      </c>
      <c r="J32" s="1">
        <f t="shared" si="2"/>
        <v>0</v>
      </c>
      <c r="K32" s="1">
        <f t="shared" si="2"/>
        <v>0</v>
      </c>
      <c r="L32" s="1">
        <f t="shared" si="2"/>
        <v>0</v>
      </c>
      <c r="M32" s="1">
        <f t="shared" si="2"/>
        <v>0</v>
      </c>
      <c r="N32" s="1">
        <f t="shared" si="2"/>
        <v>0</v>
      </c>
      <c r="O32" s="1">
        <f t="shared" si="2"/>
        <v>0</v>
      </c>
      <c r="P32" s="1">
        <f t="shared" si="2"/>
        <v>0</v>
      </c>
      <c r="Q32" s="1">
        <f t="shared" si="2"/>
        <v>28</v>
      </c>
    </row>
    <row r="33" spans="1:16" x14ac:dyDescent="0.25">
      <c r="H33">
        <f>-7*17</f>
        <v>-119</v>
      </c>
    </row>
    <row r="34" spans="1:16" x14ac:dyDescent="0.25">
      <c r="A34" s="1" t="s">
        <v>26</v>
      </c>
      <c r="C34" s="34" t="s">
        <v>144</v>
      </c>
      <c r="D34" s="34"/>
      <c r="E34" s="4" t="s">
        <v>145</v>
      </c>
      <c r="H34">
        <f>-2*25</f>
        <v>-50</v>
      </c>
      <c r="K34" s="11" t="s">
        <v>32</v>
      </c>
      <c r="L34" s="11" t="s">
        <v>146</v>
      </c>
      <c r="M34" s="11" t="s">
        <v>145</v>
      </c>
      <c r="O34" s="4" t="s">
        <v>147</v>
      </c>
    </row>
    <row r="35" spans="1:16" x14ac:dyDescent="0.25">
      <c r="A35" t="s">
        <v>1999</v>
      </c>
      <c r="B35" s="3" t="s">
        <v>148</v>
      </c>
      <c r="C35" s="35">
        <f>SUMIFS(I$3:I$30,B$3:B$30,A$34,L$3:L$30,A$35)</f>
        <v>17775</v>
      </c>
      <c r="D35" s="35"/>
      <c r="E35" s="3">
        <f>SUMIFS(Q$3:Q$30,B$3:B$30,A$34,L$3:L$30,A$35)</f>
        <v>28</v>
      </c>
      <c r="F35" t="s">
        <v>149</v>
      </c>
      <c r="K35" t="s">
        <v>150</v>
      </c>
      <c r="L35">
        <f>SUMIFS(G$3:G$30,J$3:J$30,K$34)</f>
        <v>10635</v>
      </c>
      <c r="M35">
        <f>SUMIFS(Q$3:Q$30,J$3:J$30,K$34)-INT(COUNTIFS(J$3:J$30,K$34,M$3:M$30,"*gộp*")/2)</f>
        <v>12</v>
      </c>
      <c r="O35" t="s">
        <v>32</v>
      </c>
      <c r="P35">
        <f>L40</f>
        <v>10313</v>
      </c>
    </row>
    <row r="36" spans="1:16" x14ac:dyDescent="0.25">
      <c r="B36" s="2" t="s">
        <v>152</v>
      </c>
      <c r="C36" s="36">
        <v>0</v>
      </c>
      <c r="D36" s="36"/>
      <c r="K36" t="s">
        <v>153</v>
      </c>
      <c r="L36">
        <f>-SUMIFS(H$3:H$30,J$3:J$30,K$34)+M36*5</f>
        <v>-270</v>
      </c>
      <c r="M36">
        <f>SUMIFS(Q$3:Q$30,J$3:J$30,K$34)-INT(COUNTIFS(J$3:J$30,K$34,M$3:M$30,"*gộp*")/2)</f>
        <v>12</v>
      </c>
      <c r="O36" t="s">
        <v>2062</v>
      </c>
      <c r="P36">
        <f>L48</f>
        <v>3981</v>
      </c>
    </row>
    <row r="37" spans="1:16" x14ac:dyDescent="0.25">
      <c r="B37" s="2" t="s">
        <v>154</v>
      </c>
      <c r="C37" s="36">
        <f>-SUMIFS(I$3:I$30,B$3:B$30,A$34,P$3:P$30,"xx",N$3:N$30,"x")</f>
        <v>0</v>
      </c>
      <c r="D37" s="36"/>
      <c r="E37" s="2">
        <f>SUMIFS(Q$3:Q$30,B$3:B$30,A$34,P$3:P$30,"xx",N$3:N$30,"x")</f>
        <v>0</v>
      </c>
      <c r="K37" t="s">
        <v>155</v>
      </c>
      <c r="L37">
        <f>-M37*2</f>
        <v>-52</v>
      </c>
      <c r="M37">
        <f>E38-(COUNTIFS(M$3:M$30,"*gộp*")/2)-COUNTIFS(M$3:M$30,"*đơn trả*")-COUNTIFS(M$3:M$30,"*hàng tỉnh*")</f>
        <v>26</v>
      </c>
      <c r="O37" t="s">
        <v>103</v>
      </c>
      <c r="P37">
        <f>L56</f>
        <v>3590</v>
      </c>
    </row>
    <row r="38" spans="1:16" x14ac:dyDescent="0.25">
      <c r="B38" s="4" t="s">
        <v>156</v>
      </c>
      <c r="C38" s="34">
        <f>SUBTOTAL(9,C35:C37)</f>
        <v>17775</v>
      </c>
      <c r="D38" s="34"/>
      <c r="E38">
        <f>E35</f>
        <v>28</v>
      </c>
      <c r="K38" s="12" t="s">
        <v>157</v>
      </c>
      <c r="O38" t="s">
        <v>158</v>
      </c>
      <c r="P38">
        <f>-C42</f>
        <v>-17775</v>
      </c>
    </row>
    <row r="39" spans="1:16" x14ac:dyDescent="0.25">
      <c r="B39" s="2" t="s">
        <v>159</v>
      </c>
      <c r="C39" s="32"/>
      <c r="D39" s="32"/>
      <c r="K39" s="2" t="s">
        <v>160</v>
      </c>
      <c r="O39" s="4" t="s">
        <v>161</v>
      </c>
      <c r="P39" s="4">
        <f>SUBTOTAL(9,P35:P38)</f>
        <v>109</v>
      </c>
    </row>
    <row r="40" spans="1:16" x14ac:dyDescent="0.25">
      <c r="B40" s="13" t="s">
        <v>162</v>
      </c>
      <c r="C40" s="32"/>
      <c r="D40" s="32"/>
      <c r="L40" s="14">
        <f>SUBTOTAL(9,L35:L39)</f>
        <v>10313</v>
      </c>
      <c r="M40" s="14">
        <f>M35</f>
        <v>12</v>
      </c>
    </row>
    <row r="42" spans="1:16" x14ac:dyDescent="0.25">
      <c r="B42" s="1" t="s">
        <v>163</v>
      </c>
      <c r="C42" s="33">
        <f>C38+C39+C40</f>
        <v>17775</v>
      </c>
      <c r="D42" s="33"/>
      <c r="E42" s="1" t="s">
        <v>164</v>
      </c>
      <c r="K42" s="11" t="s">
        <v>1998</v>
      </c>
      <c r="L42" s="11" t="s">
        <v>146</v>
      </c>
      <c r="M42" s="11" t="s">
        <v>145</v>
      </c>
    </row>
    <row r="43" spans="1:16" x14ac:dyDescent="0.25">
      <c r="K43" t="s">
        <v>150</v>
      </c>
      <c r="L43">
        <f>SUMIFS(G$3:G$30,J$3:J$30,K$42)</f>
        <v>4150</v>
      </c>
      <c r="M43">
        <f>SUMIFS(Q$3:Q$30,J$3:J$30,K$42)-INT(COUNTIFS(J$3:J$30,K$42,M$3:M$30,"*gộp*")/2)</f>
        <v>9</v>
      </c>
    </row>
    <row r="44" spans="1:16" x14ac:dyDescent="0.25">
      <c r="K44" t="s">
        <v>153</v>
      </c>
      <c r="L44">
        <f>SUM(H33:H34)</f>
        <v>-169</v>
      </c>
      <c r="M44">
        <f>SUMIFS(Q$3:Q$30,J$3:J$30,K$42)-INT(COUNTIFS(J$3:J$30,K$42,M$3:M$30,"*gộp*")/2)</f>
        <v>9</v>
      </c>
    </row>
    <row r="45" spans="1:16" x14ac:dyDescent="0.25">
      <c r="K45" t="s">
        <v>155</v>
      </c>
    </row>
    <row r="46" spans="1:16" x14ac:dyDescent="0.25">
      <c r="K46" s="12" t="s">
        <v>157</v>
      </c>
    </row>
    <row r="47" spans="1:16" x14ac:dyDescent="0.25">
      <c r="K47" s="2" t="s">
        <v>160</v>
      </c>
    </row>
    <row r="48" spans="1:16" x14ac:dyDescent="0.25">
      <c r="L48" s="14">
        <f>SUBTOTAL(9,L43:L47)</f>
        <v>3981</v>
      </c>
      <c r="M48" s="14">
        <f>M43</f>
        <v>9</v>
      </c>
    </row>
    <row r="50" spans="11:13" x14ac:dyDescent="0.25">
      <c r="K50" s="11" t="s">
        <v>103</v>
      </c>
      <c r="L50" s="11" t="s">
        <v>146</v>
      </c>
      <c r="M50" s="11" t="s">
        <v>145</v>
      </c>
    </row>
    <row r="51" spans="11:13" x14ac:dyDescent="0.25">
      <c r="K51" t="s">
        <v>150</v>
      </c>
      <c r="L51">
        <f>SUMIFS(G$3:G$30,J$3:J$30,K$50)</f>
        <v>3715</v>
      </c>
      <c r="M51">
        <f>SUMIFS(Q$3:Q$30,J$3:J$30,K$50)-INT(COUNTIFS(J$3:J$30,K$50,M$3:M$30,"*gộp*")/2)</f>
        <v>5</v>
      </c>
    </row>
    <row r="52" spans="11:13" x14ac:dyDescent="0.25">
      <c r="K52" t="s">
        <v>153</v>
      </c>
      <c r="L52">
        <f>-SUMIFS(H$3:H$30,J$3:J$30,K$50)+M52*5</f>
        <v>-125</v>
      </c>
      <c r="M52">
        <f>SUMIFS(Q$3:Q$30,J$3:J$30,K$50)-INT(COUNTIFS(J$3:J$30,K$50,M$3:M$30,"*gộp*")/2)</f>
        <v>5</v>
      </c>
    </row>
    <row r="53" spans="11:13" x14ac:dyDescent="0.25">
      <c r="K53" t="s">
        <v>155</v>
      </c>
    </row>
    <row r="54" spans="11:13" x14ac:dyDescent="0.25">
      <c r="K54" s="12" t="s">
        <v>157</v>
      </c>
    </row>
    <row r="55" spans="11:13" x14ac:dyDescent="0.25">
      <c r="K55" s="2" t="s">
        <v>160</v>
      </c>
    </row>
    <row r="56" spans="11:13" x14ac:dyDescent="0.25">
      <c r="L56" s="14">
        <f>SUBTOTAL(9,L51:L55)</f>
        <v>3590</v>
      </c>
      <c r="M56" s="14">
        <f>M51</f>
        <v>5</v>
      </c>
    </row>
  </sheetData>
  <autoFilter ref="A2:P30" xr:uid="{00000000-0009-0000-0000-000017000000}">
    <sortState xmlns:xlrd2="http://schemas.microsoft.com/office/spreadsheetml/2017/richdata2" ref="A3:P30">
      <sortCondition ref="J2:J30"/>
    </sortState>
  </autoFilter>
  <mergeCells count="8">
    <mergeCell ref="C39:D39"/>
    <mergeCell ref="C40:D40"/>
    <mergeCell ref="C42:D42"/>
    <mergeCell ref="C34:D34"/>
    <mergeCell ref="C35:D35"/>
    <mergeCell ref="C36:D36"/>
    <mergeCell ref="C37:D37"/>
    <mergeCell ref="C38:D38"/>
  </mergeCells>
  <pageMargins left="0.75" right="0.75" top="0.75" bottom="0.5" header="0.5" footer="0.7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R59"/>
  <sheetViews>
    <sheetView workbookViewId="0">
      <selection activeCell="P47" sqref="P47"/>
    </sheetView>
  </sheetViews>
  <sheetFormatPr defaultRowHeight="15" x14ac:dyDescent="0.25"/>
  <cols>
    <col min="1" max="1" width="12.7109375" customWidth="1"/>
    <col min="2" max="2" width="8.5703125" customWidth="1"/>
    <col min="3" max="3" width="40.85546875" customWidth="1"/>
    <col min="4" max="4" width="9.85546875" customWidth="1"/>
    <col min="5" max="5" width="68.7109375" customWidth="1"/>
    <col min="6" max="6" width="10.71093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0.42578125" customWidth="1"/>
    <col min="13" max="13" width="15.7109375" bestFit="1" customWidth="1"/>
    <col min="14" max="14" width="9.7109375" customWidth="1"/>
    <col min="15" max="15" width="10.42578125" customWidth="1"/>
    <col min="16" max="16" width="7" bestFit="1" customWidth="1"/>
  </cols>
  <sheetData>
    <row r="2" spans="1:18" x14ac:dyDescent="0.25">
      <c r="A2" s="15" t="s">
        <v>10</v>
      </c>
      <c r="B2" s="15" t="s">
        <v>11</v>
      </c>
      <c r="C2" s="15" t="s">
        <v>12</v>
      </c>
      <c r="D2" s="15" t="s">
        <v>13</v>
      </c>
      <c r="E2" s="15" t="s">
        <v>14</v>
      </c>
      <c r="F2" s="15" t="s">
        <v>15</v>
      </c>
      <c r="G2" s="15" t="s">
        <v>16</v>
      </c>
      <c r="H2" s="15" t="s">
        <v>17</v>
      </c>
      <c r="I2" s="15" t="s">
        <v>18</v>
      </c>
      <c r="J2" s="15" t="s">
        <v>19</v>
      </c>
      <c r="K2" s="15" t="s">
        <v>20</v>
      </c>
      <c r="L2" s="15" t="s">
        <v>21</v>
      </c>
      <c r="M2" s="15" t="s">
        <v>22</v>
      </c>
      <c r="N2" s="15" t="s">
        <v>23</v>
      </c>
      <c r="O2" s="15" t="s">
        <v>24</v>
      </c>
      <c r="P2" s="15" t="s">
        <v>25</v>
      </c>
      <c r="Q2" s="16"/>
    </row>
    <row r="3" spans="1:18" x14ac:dyDescent="0.25">
      <c r="A3" s="16"/>
      <c r="B3" s="16" t="s">
        <v>26</v>
      </c>
      <c r="C3" s="16" t="s">
        <v>2063</v>
      </c>
      <c r="D3" s="16" t="s">
        <v>2064</v>
      </c>
      <c r="E3" s="16" t="s">
        <v>2065</v>
      </c>
      <c r="F3" s="17">
        <v>8</v>
      </c>
      <c r="G3" s="17">
        <v>1870</v>
      </c>
      <c r="H3" s="17">
        <v>30</v>
      </c>
      <c r="I3" s="17">
        <f t="shared" ref="I3:I33" si="0">G3-H3</f>
        <v>1840</v>
      </c>
      <c r="J3" s="16" t="s">
        <v>2066</v>
      </c>
      <c r="K3" s="16" t="s">
        <v>32</v>
      </c>
      <c r="L3" s="16" t="s">
        <v>2067</v>
      </c>
      <c r="M3" s="16"/>
      <c r="N3" s="16"/>
      <c r="O3" s="16"/>
      <c r="P3" s="16"/>
      <c r="Q3" s="16">
        <v>1</v>
      </c>
    </row>
    <row r="4" spans="1:18" x14ac:dyDescent="0.25">
      <c r="A4" s="16"/>
      <c r="B4" s="16" t="s">
        <v>26</v>
      </c>
      <c r="C4" s="16" t="s">
        <v>1279</v>
      </c>
      <c r="D4" s="16" t="s">
        <v>2068</v>
      </c>
      <c r="E4" s="16" t="s">
        <v>1281</v>
      </c>
      <c r="F4" s="16" t="s">
        <v>51</v>
      </c>
      <c r="G4" s="17">
        <v>900</v>
      </c>
      <c r="H4" s="17">
        <v>30</v>
      </c>
      <c r="I4" s="17">
        <f t="shared" si="0"/>
        <v>870</v>
      </c>
      <c r="J4" s="16" t="s">
        <v>2066</v>
      </c>
      <c r="K4" s="16" t="s">
        <v>32</v>
      </c>
      <c r="L4" s="16" t="s">
        <v>2067</v>
      </c>
      <c r="M4" s="16"/>
      <c r="N4" s="16"/>
      <c r="O4" s="16"/>
      <c r="P4" s="16"/>
      <c r="Q4" s="16">
        <v>1</v>
      </c>
    </row>
    <row r="5" spans="1:18" x14ac:dyDescent="0.25">
      <c r="A5" s="16"/>
      <c r="B5" s="16" t="s">
        <v>26</v>
      </c>
      <c r="C5" s="16" t="s">
        <v>2069</v>
      </c>
      <c r="D5" s="16" t="s">
        <v>2070</v>
      </c>
      <c r="E5" s="16" t="s">
        <v>2071</v>
      </c>
      <c r="F5" s="17">
        <v>8</v>
      </c>
      <c r="G5" s="17">
        <v>0</v>
      </c>
      <c r="H5" s="17">
        <v>30</v>
      </c>
      <c r="I5" s="17">
        <f t="shared" si="0"/>
        <v>-30</v>
      </c>
      <c r="J5" s="16" t="s">
        <v>2066</v>
      </c>
      <c r="K5" s="16" t="s">
        <v>32</v>
      </c>
      <c r="L5" s="16" t="s">
        <v>2067</v>
      </c>
      <c r="M5" s="16"/>
      <c r="N5" s="16"/>
      <c r="O5" s="16"/>
      <c r="P5" s="16"/>
      <c r="Q5" s="16">
        <v>1</v>
      </c>
      <c r="R5" s="10">
        <f>H5</f>
        <v>30</v>
      </c>
    </row>
    <row r="6" spans="1:18" x14ac:dyDescent="0.25">
      <c r="A6" s="16"/>
      <c r="B6" s="16" t="s">
        <v>26</v>
      </c>
      <c r="C6" s="16" t="s">
        <v>62</v>
      </c>
      <c r="D6" s="16" t="s">
        <v>2072</v>
      </c>
      <c r="E6" s="16" t="s">
        <v>2073</v>
      </c>
      <c r="F6" s="16" t="s">
        <v>51</v>
      </c>
      <c r="G6" s="17">
        <v>750</v>
      </c>
      <c r="H6" s="17">
        <v>30</v>
      </c>
      <c r="I6" s="17">
        <f t="shared" si="0"/>
        <v>720</v>
      </c>
      <c r="J6" s="16" t="s">
        <v>2066</v>
      </c>
      <c r="K6" s="16" t="s">
        <v>32</v>
      </c>
      <c r="L6" s="16" t="s">
        <v>2067</v>
      </c>
      <c r="M6" s="16"/>
      <c r="N6" s="16"/>
      <c r="O6" s="16"/>
      <c r="P6" s="16"/>
      <c r="Q6" s="16">
        <v>1</v>
      </c>
    </row>
    <row r="7" spans="1:18" x14ac:dyDescent="0.25">
      <c r="A7" s="16" t="s">
        <v>141</v>
      </c>
      <c r="B7" s="16" t="s">
        <v>26</v>
      </c>
      <c r="C7" s="16" t="s">
        <v>1676</v>
      </c>
      <c r="D7" s="16"/>
      <c r="E7" s="16" t="s">
        <v>422</v>
      </c>
      <c r="F7" s="16" t="s">
        <v>82</v>
      </c>
      <c r="G7" s="17">
        <v>1230</v>
      </c>
      <c r="H7" s="17">
        <v>30</v>
      </c>
      <c r="I7" s="17">
        <f t="shared" si="0"/>
        <v>1200</v>
      </c>
      <c r="J7" s="16" t="s">
        <v>32</v>
      </c>
      <c r="K7" s="16" t="s">
        <v>32</v>
      </c>
      <c r="L7" s="16" t="s">
        <v>2067</v>
      </c>
      <c r="M7" s="16"/>
      <c r="N7" s="16"/>
      <c r="O7" s="16"/>
      <c r="P7" s="16"/>
      <c r="Q7" s="16">
        <v>1</v>
      </c>
    </row>
    <row r="8" spans="1:18" x14ac:dyDescent="0.25">
      <c r="A8" s="16" t="s">
        <v>141</v>
      </c>
      <c r="B8" s="16" t="s">
        <v>26</v>
      </c>
      <c r="C8" s="16" t="s">
        <v>204</v>
      </c>
      <c r="D8" s="16"/>
      <c r="E8" s="16" t="s">
        <v>205</v>
      </c>
      <c r="F8" s="16" t="s">
        <v>82</v>
      </c>
      <c r="G8" s="17">
        <v>2680</v>
      </c>
      <c r="H8" s="17">
        <v>30</v>
      </c>
      <c r="I8" s="17">
        <f t="shared" si="0"/>
        <v>2650</v>
      </c>
      <c r="J8" s="16" t="s">
        <v>32</v>
      </c>
      <c r="K8" s="16" t="s">
        <v>32</v>
      </c>
      <c r="L8" s="16" t="s">
        <v>2067</v>
      </c>
      <c r="M8" s="16"/>
      <c r="N8" s="16"/>
      <c r="O8" s="16"/>
      <c r="P8" s="16"/>
      <c r="Q8" s="16">
        <v>1</v>
      </c>
    </row>
    <row r="9" spans="1:18" x14ac:dyDescent="0.25">
      <c r="A9" s="16"/>
      <c r="B9" s="16" t="s">
        <v>26</v>
      </c>
      <c r="C9" s="16" t="s">
        <v>2074</v>
      </c>
      <c r="D9" s="16" t="s">
        <v>2075</v>
      </c>
      <c r="E9" s="16" t="s">
        <v>2076</v>
      </c>
      <c r="F9" s="16" t="s">
        <v>75</v>
      </c>
      <c r="G9" s="17">
        <v>690</v>
      </c>
      <c r="H9" s="17">
        <v>20</v>
      </c>
      <c r="I9" s="17">
        <f t="shared" si="0"/>
        <v>670</v>
      </c>
      <c r="J9" s="16" t="s">
        <v>32</v>
      </c>
      <c r="K9" s="16" t="s">
        <v>32</v>
      </c>
      <c r="L9" s="16" t="s">
        <v>2067</v>
      </c>
      <c r="M9" s="16"/>
      <c r="N9" s="16"/>
      <c r="O9" s="16"/>
      <c r="P9" s="16"/>
      <c r="Q9" s="16">
        <v>1</v>
      </c>
    </row>
    <row r="10" spans="1:18" x14ac:dyDescent="0.25">
      <c r="A10" s="16"/>
      <c r="B10" s="16" t="s">
        <v>26</v>
      </c>
      <c r="C10" s="16" t="s">
        <v>2077</v>
      </c>
      <c r="D10" s="16" t="s">
        <v>2078</v>
      </c>
      <c r="E10" s="16" t="s">
        <v>2079</v>
      </c>
      <c r="F10" s="17">
        <v>9</v>
      </c>
      <c r="G10" s="17">
        <v>0</v>
      </c>
      <c r="H10" s="17">
        <v>40</v>
      </c>
      <c r="I10" s="17">
        <f t="shared" si="0"/>
        <v>-40</v>
      </c>
      <c r="J10" s="16" t="s">
        <v>32</v>
      </c>
      <c r="K10" s="16" t="s">
        <v>32</v>
      </c>
      <c r="L10" s="16" t="s">
        <v>2067</v>
      </c>
      <c r="M10" s="18" t="s">
        <v>2080</v>
      </c>
      <c r="N10" s="16"/>
      <c r="O10" s="16"/>
      <c r="P10" s="16"/>
      <c r="Q10" s="16">
        <v>1</v>
      </c>
      <c r="R10" s="10">
        <f>H10</f>
        <v>40</v>
      </c>
    </row>
    <row r="11" spans="1:18" x14ac:dyDescent="0.25">
      <c r="A11" s="16"/>
      <c r="B11" s="16" t="s">
        <v>26</v>
      </c>
      <c r="C11" s="16" t="s">
        <v>2081</v>
      </c>
      <c r="D11" s="16" t="s">
        <v>2082</v>
      </c>
      <c r="E11" s="16" t="s">
        <v>2083</v>
      </c>
      <c r="F11" s="17">
        <v>2</v>
      </c>
      <c r="G11" s="17">
        <v>950</v>
      </c>
      <c r="H11" s="17">
        <v>30</v>
      </c>
      <c r="I11" s="17">
        <f t="shared" si="0"/>
        <v>920</v>
      </c>
      <c r="J11" s="16" t="s">
        <v>32</v>
      </c>
      <c r="K11" s="16" t="s">
        <v>32</v>
      </c>
      <c r="L11" s="16" t="s">
        <v>2067</v>
      </c>
      <c r="M11" s="16"/>
      <c r="N11" s="16"/>
      <c r="O11" s="16"/>
      <c r="P11" s="16"/>
      <c r="Q11" s="16">
        <v>1</v>
      </c>
    </row>
    <row r="12" spans="1:18" x14ac:dyDescent="0.25">
      <c r="A12" s="16"/>
      <c r="B12" s="16" t="s">
        <v>26</v>
      </c>
      <c r="C12" s="16" t="s">
        <v>2084</v>
      </c>
      <c r="D12" s="16" t="s">
        <v>2085</v>
      </c>
      <c r="E12" s="16" t="s">
        <v>2086</v>
      </c>
      <c r="F12" s="17">
        <v>9</v>
      </c>
      <c r="G12" s="17">
        <v>1080</v>
      </c>
      <c r="H12" s="17">
        <v>30</v>
      </c>
      <c r="I12" s="17">
        <f t="shared" si="0"/>
        <v>1050</v>
      </c>
      <c r="J12" s="16" t="s">
        <v>32</v>
      </c>
      <c r="K12" s="16" t="s">
        <v>32</v>
      </c>
      <c r="L12" s="16" t="s">
        <v>2067</v>
      </c>
      <c r="M12" s="16"/>
      <c r="N12" s="16"/>
      <c r="O12" s="16"/>
      <c r="P12" s="16"/>
      <c r="Q12" s="16">
        <v>1</v>
      </c>
    </row>
    <row r="13" spans="1:18" x14ac:dyDescent="0.25">
      <c r="A13" s="16"/>
      <c r="B13" s="16" t="s">
        <v>26</v>
      </c>
      <c r="C13" s="16" t="s">
        <v>2087</v>
      </c>
      <c r="D13" s="16" t="s">
        <v>2088</v>
      </c>
      <c r="E13" s="16" t="s">
        <v>2089</v>
      </c>
      <c r="F13" s="16" t="s">
        <v>89</v>
      </c>
      <c r="G13" s="17">
        <v>320</v>
      </c>
      <c r="H13" s="17">
        <v>30</v>
      </c>
      <c r="I13" s="17">
        <f t="shared" si="0"/>
        <v>290</v>
      </c>
      <c r="J13" s="16" t="s">
        <v>32</v>
      </c>
      <c r="K13" s="16" t="s">
        <v>32</v>
      </c>
      <c r="L13" s="16" t="s">
        <v>2067</v>
      </c>
      <c r="M13" s="16"/>
      <c r="N13" s="16"/>
      <c r="O13" s="16"/>
      <c r="P13" s="16"/>
      <c r="Q13" s="16">
        <v>1</v>
      </c>
    </row>
    <row r="14" spans="1:18" x14ac:dyDescent="0.25">
      <c r="A14" s="16"/>
      <c r="B14" s="16" t="s">
        <v>26</v>
      </c>
      <c r="C14" s="16" t="s">
        <v>2090</v>
      </c>
      <c r="D14" s="16" t="s">
        <v>2091</v>
      </c>
      <c r="E14" s="16" t="s">
        <v>1301</v>
      </c>
      <c r="F14" s="17">
        <v>12</v>
      </c>
      <c r="G14" s="17">
        <v>0</v>
      </c>
      <c r="H14" s="17">
        <v>30</v>
      </c>
      <c r="I14" s="17">
        <f t="shared" si="0"/>
        <v>-30</v>
      </c>
      <c r="J14" s="16" t="s">
        <v>32</v>
      </c>
      <c r="K14" s="16" t="s">
        <v>32</v>
      </c>
      <c r="L14" s="16" t="s">
        <v>2067</v>
      </c>
      <c r="M14" s="16"/>
      <c r="N14" s="16"/>
      <c r="O14" s="16"/>
      <c r="P14" s="16"/>
      <c r="Q14" s="16">
        <v>1</v>
      </c>
      <c r="R14" s="10">
        <f>H14</f>
        <v>30</v>
      </c>
    </row>
    <row r="15" spans="1:18" s="21" customFormat="1" x14ac:dyDescent="0.25">
      <c r="A15" s="19"/>
      <c r="B15" s="19" t="s">
        <v>26</v>
      </c>
      <c r="C15" s="19" t="s">
        <v>1820</v>
      </c>
      <c r="D15" s="19" t="s">
        <v>2092</v>
      </c>
      <c r="E15" s="19" t="s">
        <v>1822</v>
      </c>
      <c r="F15" s="19" t="s">
        <v>82</v>
      </c>
      <c r="G15" s="20">
        <v>25</v>
      </c>
      <c r="H15" s="20">
        <v>25</v>
      </c>
      <c r="I15" s="20">
        <f t="shared" si="0"/>
        <v>0</v>
      </c>
      <c r="J15" s="19" t="s">
        <v>32</v>
      </c>
      <c r="K15" s="19" t="s">
        <v>32</v>
      </c>
      <c r="L15" s="19" t="s">
        <v>2067</v>
      </c>
      <c r="M15" s="19" t="s">
        <v>68</v>
      </c>
      <c r="N15" s="19"/>
      <c r="O15" s="19"/>
      <c r="P15" s="19"/>
      <c r="Q15" s="19">
        <v>1</v>
      </c>
    </row>
    <row r="16" spans="1:18" x14ac:dyDescent="0.25">
      <c r="A16" s="16"/>
      <c r="B16" s="16" t="s">
        <v>26</v>
      </c>
      <c r="C16" s="16" t="s">
        <v>2093</v>
      </c>
      <c r="D16" s="16" t="s">
        <v>2094</v>
      </c>
      <c r="E16" s="16" t="s">
        <v>2095</v>
      </c>
      <c r="F16" s="17">
        <v>2</v>
      </c>
      <c r="G16" s="17">
        <v>0</v>
      </c>
      <c r="H16" s="17">
        <v>30</v>
      </c>
      <c r="I16" s="17">
        <f t="shared" si="0"/>
        <v>-30</v>
      </c>
      <c r="J16" s="16" t="s">
        <v>32</v>
      </c>
      <c r="K16" s="16" t="s">
        <v>32</v>
      </c>
      <c r="L16" s="16" t="s">
        <v>2067</v>
      </c>
      <c r="M16" s="16"/>
      <c r="N16" s="16"/>
      <c r="O16" s="16"/>
      <c r="P16" s="16"/>
      <c r="Q16" s="16">
        <v>1</v>
      </c>
      <c r="R16" s="10">
        <f>H16</f>
        <v>30</v>
      </c>
    </row>
    <row r="17" spans="1:18" x14ac:dyDescent="0.25">
      <c r="A17" s="16" t="s">
        <v>141</v>
      </c>
      <c r="B17" s="16" t="s">
        <v>26</v>
      </c>
      <c r="C17" s="16" t="s">
        <v>2096</v>
      </c>
      <c r="D17" s="16"/>
      <c r="E17" s="16" t="s">
        <v>2097</v>
      </c>
      <c r="F17" s="17">
        <v>5</v>
      </c>
      <c r="G17" s="17">
        <v>0</v>
      </c>
      <c r="H17" s="17">
        <v>30</v>
      </c>
      <c r="I17" s="17">
        <f t="shared" si="0"/>
        <v>-30</v>
      </c>
      <c r="J17" s="16" t="s">
        <v>103</v>
      </c>
      <c r="K17" s="16" t="s">
        <v>32</v>
      </c>
      <c r="L17" s="16" t="s">
        <v>2067</v>
      </c>
      <c r="M17" s="16"/>
      <c r="N17" s="16"/>
      <c r="O17" s="16"/>
      <c r="P17" s="16"/>
      <c r="Q17" s="16">
        <v>1</v>
      </c>
      <c r="R17" s="10">
        <f>H17</f>
        <v>30</v>
      </c>
    </row>
    <row r="18" spans="1:18" x14ac:dyDescent="0.25">
      <c r="A18" s="16"/>
      <c r="B18" s="16" t="s">
        <v>26</v>
      </c>
      <c r="C18" s="16" t="s">
        <v>473</v>
      </c>
      <c r="D18" s="16" t="s">
        <v>2098</v>
      </c>
      <c r="E18" s="16" t="s">
        <v>2099</v>
      </c>
      <c r="F18" s="17">
        <v>5</v>
      </c>
      <c r="G18" s="17">
        <v>855</v>
      </c>
      <c r="H18" s="17">
        <v>25</v>
      </c>
      <c r="I18" s="17">
        <f t="shared" si="0"/>
        <v>830</v>
      </c>
      <c r="J18" s="16" t="s">
        <v>103</v>
      </c>
      <c r="K18" s="16" t="s">
        <v>32</v>
      </c>
      <c r="L18" s="16" t="s">
        <v>2067</v>
      </c>
      <c r="M18" s="16"/>
      <c r="N18" s="16"/>
      <c r="O18" s="16"/>
      <c r="P18" s="16"/>
      <c r="Q18" s="16">
        <v>1</v>
      </c>
    </row>
    <row r="19" spans="1:18" x14ac:dyDescent="0.25">
      <c r="A19" s="16"/>
      <c r="B19" s="16" t="s">
        <v>26</v>
      </c>
      <c r="C19" s="16" t="s">
        <v>1120</v>
      </c>
      <c r="D19" s="16" t="s">
        <v>2100</v>
      </c>
      <c r="E19" s="16" t="s">
        <v>1122</v>
      </c>
      <c r="F19" s="17">
        <v>10</v>
      </c>
      <c r="G19" s="17">
        <v>3300</v>
      </c>
      <c r="H19" s="17">
        <v>35</v>
      </c>
      <c r="I19" s="17">
        <f t="shared" si="0"/>
        <v>3265</v>
      </c>
      <c r="J19" s="16" t="s">
        <v>103</v>
      </c>
      <c r="K19" s="16" t="s">
        <v>32</v>
      </c>
      <c r="L19" s="16" t="s">
        <v>2067</v>
      </c>
      <c r="M19" s="18" t="s">
        <v>55</v>
      </c>
      <c r="N19" s="16"/>
      <c r="O19" s="16"/>
      <c r="P19" s="16"/>
      <c r="Q19" s="16">
        <v>1</v>
      </c>
      <c r="R19" s="10">
        <f>H19</f>
        <v>35</v>
      </c>
    </row>
    <row r="20" spans="1:18" x14ac:dyDescent="0.25">
      <c r="A20" s="16" t="s">
        <v>141</v>
      </c>
      <c r="B20" s="16" t="s">
        <v>26</v>
      </c>
      <c r="C20" s="16" t="s">
        <v>2101</v>
      </c>
      <c r="D20" s="16"/>
      <c r="E20" s="16" t="s">
        <v>2102</v>
      </c>
      <c r="F20" s="17">
        <v>1</v>
      </c>
      <c r="G20" s="17">
        <v>0</v>
      </c>
      <c r="H20" s="17">
        <v>25</v>
      </c>
      <c r="I20" s="17">
        <f t="shared" si="0"/>
        <v>-25</v>
      </c>
      <c r="J20" s="16" t="s">
        <v>103</v>
      </c>
      <c r="K20" s="16" t="s">
        <v>32</v>
      </c>
      <c r="L20" s="16" t="s">
        <v>2067</v>
      </c>
      <c r="M20" s="16"/>
      <c r="N20" s="16"/>
      <c r="O20" s="16"/>
      <c r="P20" s="16"/>
      <c r="Q20" s="16">
        <v>1</v>
      </c>
      <c r="R20" s="10">
        <f>H20</f>
        <v>25</v>
      </c>
    </row>
    <row r="21" spans="1:18" x14ac:dyDescent="0.25">
      <c r="A21" s="16"/>
      <c r="B21" s="16" t="s">
        <v>26</v>
      </c>
      <c r="C21" s="16" t="s">
        <v>257</v>
      </c>
      <c r="D21" s="16" t="s">
        <v>2103</v>
      </c>
      <c r="E21" s="16" t="s">
        <v>259</v>
      </c>
      <c r="F21" s="17">
        <v>7</v>
      </c>
      <c r="G21" s="17">
        <v>800</v>
      </c>
      <c r="H21" s="17">
        <v>30</v>
      </c>
      <c r="I21" s="17">
        <f t="shared" si="0"/>
        <v>770</v>
      </c>
      <c r="J21" s="16" t="s">
        <v>103</v>
      </c>
      <c r="K21" s="16" t="s">
        <v>32</v>
      </c>
      <c r="L21" s="16" t="s">
        <v>2067</v>
      </c>
      <c r="M21" s="16"/>
      <c r="N21" s="16"/>
      <c r="O21" s="16"/>
      <c r="P21" s="16"/>
      <c r="Q21" s="16">
        <v>1</v>
      </c>
    </row>
    <row r="22" spans="1:18" x14ac:dyDescent="0.25">
      <c r="A22" s="16"/>
      <c r="B22" s="16" t="s">
        <v>26</v>
      </c>
      <c r="C22" s="16" t="s">
        <v>2104</v>
      </c>
      <c r="D22" s="16" t="s">
        <v>2105</v>
      </c>
      <c r="E22" s="16" t="s">
        <v>2106</v>
      </c>
      <c r="F22" s="17">
        <v>10</v>
      </c>
      <c r="G22" s="17">
        <v>1385</v>
      </c>
      <c r="H22" s="17">
        <v>25</v>
      </c>
      <c r="I22" s="17">
        <f t="shared" si="0"/>
        <v>1360</v>
      </c>
      <c r="J22" s="16" t="s">
        <v>103</v>
      </c>
      <c r="K22" s="16" t="s">
        <v>32</v>
      </c>
      <c r="L22" s="16" t="s">
        <v>2067</v>
      </c>
      <c r="M22" s="16"/>
      <c r="N22" s="16"/>
      <c r="O22" s="16"/>
      <c r="P22" s="16"/>
      <c r="Q22" s="16">
        <v>1</v>
      </c>
    </row>
    <row r="23" spans="1:18" x14ac:dyDescent="0.25">
      <c r="A23" s="16"/>
      <c r="B23" s="16" t="s">
        <v>26</v>
      </c>
      <c r="C23" s="16" t="s">
        <v>2107</v>
      </c>
      <c r="D23" s="16" t="s">
        <v>2108</v>
      </c>
      <c r="E23" s="16" t="s">
        <v>2109</v>
      </c>
      <c r="F23" s="16" t="s">
        <v>93</v>
      </c>
      <c r="G23" s="17">
        <v>655</v>
      </c>
      <c r="H23" s="17">
        <v>25</v>
      </c>
      <c r="I23" s="17">
        <f t="shared" si="0"/>
        <v>630</v>
      </c>
      <c r="J23" s="16" t="s">
        <v>103</v>
      </c>
      <c r="K23" s="16" t="s">
        <v>32</v>
      </c>
      <c r="L23" s="16" t="s">
        <v>2067</v>
      </c>
      <c r="M23" s="16"/>
      <c r="N23" s="16"/>
      <c r="O23" s="16"/>
      <c r="P23" s="16"/>
      <c r="Q23" s="16">
        <v>1</v>
      </c>
    </row>
    <row r="24" spans="1:18" x14ac:dyDescent="0.25">
      <c r="A24" s="16"/>
      <c r="B24" s="16" t="s">
        <v>26</v>
      </c>
      <c r="C24" s="16" t="s">
        <v>2110</v>
      </c>
      <c r="D24" s="16" t="s">
        <v>2111</v>
      </c>
      <c r="E24" s="16" t="s">
        <v>2112</v>
      </c>
      <c r="F24" s="17">
        <v>7</v>
      </c>
      <c r="G24" s="17">
        <v>0</v>
      </c>
      <c r="H24" s="17">
        <v>30</v>
      </c>
      <c r="I24" s="17">
        <f t="shared" si="0"/>
        <v>-30</v>
      </c>
      <c r="J24" s="16" t="s">
        <v>103</v>
      </c>
      <c r="K24" s="16" t="s">
        <v>32</v>
      </c>
      <c r="L24" s="16" t="s">
        <v>2067</v>
      </c>
      <c r="M24" s="16"/>
      <c r="N24" s="16"/>
      <c r="O24" s="16"/>
      <c r="P24" s="16"/>
      <c r="Q24" s="16">
        <v>1</v>
      </c>
      <c r="R24" s="10">
        <f>H24</f>
        <v>30</v>
      </c>
    </row>
    <row r="25" spans="1:18" x14ac:dyDescent="0.25">
      <c r="A25" s="16"/>
      <c r="B25" s="16" t="s">
        <v>26</v>
      </c>
      <c r="C25" s="16" t="s">
        <v>2113</v>
      </c>
      <c r="D25" s="16" t="s">
        <v>2114</v>
      </c>
      <c r="E25" s="16" t="s">
        <v>2115</v>
      </c>
      <c r="F25" s="17">
        <v>5</v>
      </c>
      <c r="G25" s="17">
        <v>0</v>
      </c>
      <c r="H25" s="17">
        <v>25</v>
      </c>
      <c r="I25" s="17">
        <f t="shared" si="0"/>
        <v>-25</v>
      </c>
      <c r="J25" s="16" t="s">
        <v>103</v>
      </c>
      <c r="K25" s="16" t="s">
        <v>32</v>
      </c>
      <c r="L25" s="16" t="s">
        <v>2067</v>
      </c>
      <c r="M25" s="16"/>
      <c r="N25" s="16"/>
      <c r="O25" s="16"/>
      <c r="P25" s="16"/>
      <c r="Q25" s="16">
        <v>1</v>
      </c>
      <c r="R25" s="10">
        <f>H25</f>
        <v>25</v>
      </c>
    </row>
    <row r="26" spans="1:18" x14ac:dyDescent="0.25">
      <c r="A26" s="16"/>
      <c r="B26" s="16" t="s">
        <v>26</v>
      </c>
      <c r="C26" s="16" t="s">
        <v>2116</v>
      </c>
      <c r="D26" s="16" t="s">
        <v>2117</v>
      </c>
      <c r="E26" s="16" t="s">
        <v>2118</v>
      </c>
      <c r="F26" s="17">
        <v>5</v>
      </c>
      <c r="G26" s="17">
        <v>1385</v>
      </c>
      <c r="H26" s="17">
        <v>25</v>
      </c>
      <c r="I26" s="17">
        <f t="shared" si="0"/>
        <v>1360</v>
      </c>
      <c r="J26" s="16" t="s">
        <v>103</v>
      </c>
      <c r="K26" s="16" t="s">
        <v>32</v>
      </c>
      <c r="L26" s="16" t="s">
        <v>2067</v>
      </c>
      <c r="M26" s="16"/>
      <c r="N26" s="16"/>
      <c r="O26" s="16"/>
      <c r="P26" s="16"/>
      <c r="Q26" s="16">
        <v>1</v>
      </c>
    </row>
    <row r="27" spans="1:18" x14ac:dyDescent="0.25">
      <c r="A27" s="16"/>
      <c r="B27" s="16" t="s">
        <v>26</v>
      </c>
      <c r="C27" s="16" t="s">
        <v>2119</v>
      </c>
      <c r="D27" s="16" t="s">
        <v>2120</v>
      </c>
      <c r="E27" s="16" t="s">
        <v>2121</v>
      </c>
      <c r="F27" s="17">
        <v>1</v>
      </c>
      <c r="G27" s="17">
        <v>0</v>
      </c>
      <c r="H27" s="17">
        <v>25</v>
      </c>
      <c r="I27" s="17">
        <f t="shared" si="0"/>
        <v>-25</v>
      </c>
      <c r="J27" s="16" t="s">
        <v>103</v>
      </c>
      <c r="K27" s="16" t="s">
        <v>32</v>
      </c>
      <c r="L27" s="16" t="s">
        <v>2067</v>
      </c>
      <c r="M27" s="16"/>
      <c r="N27" s="16"/>
      <c r="O27" s="16"/>
      <c r="P27" s="16"/>
      <c r="Q27" s="16">
        <v>1</v>
      </c>
      <c r="R27" s="10">
        <f>H27</f>
        <v>25</v>
      </c>
    </row>
    <row r="28" spans="1:18" x14ac:dyDescent="0.25">
      <c r="A28" s="16"/>
      <c r="B28" s="16" t="s">
        <v>26</v>
      </c>
      <c r="C28" s="16" t="s">
        <v>995</v>
      </c>
      <c r="D28" s="16" t="s">
        <v>2122</v>
      </c>
      <c r="E28" s="16" t="s">
        <v>2123</v>
      </c>
      <c r="F28" s="17">
        <v>7</v>
      </c>
      <c r="G28" s="17">
        <v>1320</v>
      </c>
      <c r="H28" s="17">
        <v>30</v>
      </c>
      <c r="I28" s="17">
        <f t="shared" si="0"/>
        <v>1290</v>
      </c>
      <c r="J28" s="16" t="s">
        <v>103</v>
      </c>
      <c r="K28" s="16" t="s">
        <v>32</v>
      </c>
      <c r="L28" s="16" t="s">
        <v>2067</v>
      </c>
      <c r="M28" s="16"/>
      <c r="N28" s="16"/>
      <c r="O28" s="16"/>
      <c r="P28" s="16"/>
      <c r="Q28" s="16">
        <v>1</v>
      </c>
    </row>
    <row r="29" spans="1:18" x14ac:dyDescent="0.25">
      <c r="A29" s="16"/>
      <c r="B29" s="16" t="s">
        <v>26</v>
      </c>
      <c r="C29" s="16" t="s">
        <v>2124</v>
      </c>
      <c r="D29" s="16" t="s">
        <v>2125</v>
      </c>
      <c r="E29" s="16" t="s">
        <v>2126</v>
      </c>
      <c r="F29" s="17">
        <v>7</v>
      </c>
      <c r="G29" s="17">
        <v>750</v>
      </c>
      <c r="H29" s="17">
        <v>30</v>
      </c>
      <c r="I29" s="17">
        <f t="shared" si="0"/>
        <v>720</v>
      </c>
      <c r="J29" s="16" t="s">
        <v>103</v>
      </c>
      <c r="K29" s="16" t="s">
        <v>32</v>
      </c>
      <c r="L29" s="16" t="s">
        <v>2067</v>
      </c>
      <c r="M29" s="16"/>
      <c r="N29" s="16"/>
      <c r="O29" s="16"/>
      <c r="P29" s="16"/>
      <c r="Q29" s="16">
        <v>1</v>
      </c>
    </row>
    <row r="30" spans="1:18" x14ac:dyDescent="0.25">
      <c r="A30" s="16"/>
      <c r="B30" s="16" t="s">
        <v>26</v>
      </c>
      <c r="C30" s="16" t="s">
        <v>2127</v>
      </c>
      <c r="D30" s="16" t="s">
        <v>2128</v>
      </c>
      <c r="E30" s="16" t="s">
        <v>2129</v>
      </c>
      <c r="F30" s="17">
        <v>7</v>
      </c>
      <c r="G30" s="17">
        <v>600</v>
      </c>
      <c r="H30" s="17">
        <v>30</v>
      </c>
      <c r="I30" s="17">
        <f t="shared" si="0"/>
        <v>570</v>
      </c>
      <c r="J30" s="16" t="s">
        <v>103</v>
      </c>
      <c r="K30" s="16" t="s">
        <v>32</v>
      </c>
      <c r="L30" s="16" t="s">
        <v>2067</v>
      </c>
      <c r="M30" s="16"/>
      <c r="N30" s="16"/>
      <c r="O30" s="16"/>
      <c r="P30" s="16"/>
      <c r="Q30" s="16">
        <v>1</v>
      </c>
    </row>
    <row r="31" spans="1:18" x14ac:dyDescent="0.25">
      <c r="A31" s="16"/>
      <c r="B31" s="16" t="s">
        <v>26</v>
      </c>
      <c r="C31" s="16" t="s">
        <v>2130</v>
      </c>
      <c r="D31" s="16" t="s">
        <v>2131</v>
      </c>
      <c r="E31" s="16" t="s">
        <v>2132</v>
      </c>
      <c r="F31" s="17">
        <v>10</v>
      </c>
      <c r="G31" s="17">
        <v>545</v>
      </c>
      <c r="H31" s="17">
        <v>25</v>
      </c>
      <c r="I31" s="17">
        <f t="shared" si="0"/>
        <v>520</v>
      </c>
      <c r="J31" s="16" t="s">
        <v>103</v>
      </c>
      <c r="K31" s="16" t="s">
        <v>32</v>
      </c>
      <c r="L31" s="16" t="s">
        <v>2067</v>
      </c>
      <c r="M31" s="16"/>
      <c r="N31" s="16"/>
      <c r="O31" s="16"/>
      <c r="P31" s="16"/>
      <c r="Q31" s="16">
        <v>1</v>
      </c>
    </row>
    <row r="32" spans="1:18" x14ac:dyDescent="0.25">
      <c r="A32" s="16"/>
      <c r="B32" s="16" t="s">
        <v>26</v>
      </c>
      <c r="C32" s="16" t="s">
        <v>2133</v>
      </c>
      <c r="D32" s="16" t="s">
        <v>2134</v>
      </c>
      <c r="E32" s="16" t="s">
        <v>2135</v>
      </c>
      <c r="F32" s="17">
        <v>4</v>
      </c>
      <c r="G32" s="17">
        <v>945</v>
      </c>
      <c r="H32" s="17">
        <v>25</v>
      </c>
      <c r="I32" s="17">
        <f t="shared" si="0"/>
        <v>920</v>
      </c>
      <c r="J32" s="16" t="s">
        <v>103</v>
      </c>
      <c r="K32" s="16" t="s">
        <v>32</v>
      </c>
      <c r="L32" s="16" t="s">
        <v>2067</v>
      </c>
      <c r="M32" s="16"/>
      <c r="N32" s="16"/>
      <c r="O32" s="16"/>
      <c r="P32" s="16"/>
      <c r="Q32" s="16">
        <v>1</v>
      </c>
    </row>
    <row r="33" spans="1:17" x14ac:dyDescent="0.25">
      <c r="A33" s="16"/>
      <c r="B33" s="16" t="s">
        <v>26</v>
      </c>
      <c r="C33" s="16" t="s">
        <v>350</v>
      </c>
      <c r="D33" s="16" t="s">
        <v>2136</v>
      </c>
      <c r="E33" s="16" t="s">
        <v>2137</v>
      </c>
      <c r="F33" s="17">
        <v>4</v>
      </c>
      <c r="G33" s="17">
        <v>805</v>
      </c>
      <c r="H33" s="17">
        <v>25</v>
      </c>
      <c r="I33" s="17">
        <f t="shared" si="0"/>
        <v>780</v>
      </c>
      <c r="J33" s="16" t="s">
        <v>103</v>
      </c>
      <c r="K33" s="16" t="s">
        <v>32</v>
      </c>
      <c r="L33" s="16" t="s">
        <v>2067</v>
      </c>
      <c r="M33" s="16"/>
      <c r="N33" s="16"/>
      <c r="O33" s="16"/>
      <c r="P33" s="16"/>
      <c r="Q33" s="16">
        <v>1</v>
      </c>
    </row>
    <row r="35" spans="1:17" x14ac:dyDescent="0.25">
      <c r="D35" s="1">
        <f>COUNTA(D3:D33)</f>
        <v>27</v>
      </c>
      <c r="G35" s="1">
        <f t="shared" ref="G35:Q35" si="1">SUBTOTAL(9,G3:G33)</f>
        <v>23840</v>
      </c>
      <c r="H35" s="1">
        <f t="shared" si="1"/>
        <v>880</v>
      </c>
      <c r="I35" s="1">
        <f t="shared" si="1"/>
        <v>22960</v>
      </c>
      <c r="J35" s="1">
        <f t="shared" si="1"/>
        <v>0</v>
      </c>
      <c r="K35" s="1">
        <f t="shared" si="1"/>
        <v>0</v>
      </c>
      <c r="L35" s="1">
        <f t="shared" si="1"/>
        <v>0</v>
      </c>
      <c r="M35" s="1">
        <f t="shared" si="1"/>
        <v>0</v>
      </c>
      <c r="N35" s="1">
        <f t="shared" si="1"/>
        <v>0</v>
      </c>
      <c r="O35" s="1">
        <f t="shared" si="1"/>
        <v>0</v>
      </c>
      <c r="P35" s="1">
        <f t="shared" si="1"/>
        <v>0</v>
      </c>
      <c r="Q35" s="1">
        <f t="shared" si="1"/>
        <v>31</v>
      </c>
    </row>
    <row r="36" spans="1:17" x14ac:dyDescent="0.25">
      <c r="H36">
        <f>-2*17</f>
        <v>-34</v>
      </c>
    </row>
    <row r="37" spans="1:17" x14ac:dyDescent="0.25">
      <c r="A37" s="1" t="s">
        <v>26</v>
      </c>
      <c r="C37" s="34" t="s">
        <v>144</v>
      </c>
      <c r="D37" s="34"/>
      <c r="E37" s="4" t="s">
        <v>145</v>
      </c>
      <c r="H37">
        <f>-2*25</f>
        <v>-50</v>
      </c>
      <c r="K37" s="11" t="s">
        <v>103</v>
      </c>
      <c r="L37" s="11" t="s">
        <v>146</v>
      </c>
      <c r="M37" s="11" t="s">
        <v>145</v>
      </c>
      <c r="O37" s="4" t="s">
        <v>147</v>
      </c>
    </row>
    <row r="38" spans="1:17" x14ac:dyDescent="0.25">
      <c r="A38" t="s">
        <v>2067</v>
      </c>
      <c r="B38" s="3" t="s">
        <v>148</v>
      </c>
      <c r="C38" s="35">
        <f>SUMIFS(I$3:I$33,B$3:B$33,A$37,L$3:L$33,A$38)</f>
        <v>22960</v>
      </c>
      <c r="D38" s="35"/>
      <c r="E38" s="3">
        <f>SUMIFS(Q$3:Q$33,B$3:B$33,A$37,L$3:L$33,A$38)</f>
        <v>31</v>
      </c>
      <c r="F38" t="s">
        <v>149</v>
      </c>
      <c r="K38" t="s">
        <v>150</v>
      </c>
      <c r="L38">
        <f>SUMIFS(G$3:G$33,J$3:J$33,K$37)</f>
        <v>13345</v>
      </c>
      <c r="M38">
        <f>SUMIFS(Q$3:Q$33,J$3:J$33,K$37)-INT(COUNTIFS(J$3:J$33,K$37,M$3:M$33,"*gộp*")/2)</f>
        <v>17</v>
      </c>
      <c r="O38" t="s">
        <v>103</v>
      </c>
      <c r="P38">
        <f>L43</f>
        <v>12965</v>
      </c>
    </row>
    <row r="39" spans="1:17" x14ac:dyDescent="0.25">
      <c r="B39" s="2" t="s">
        <v>152</v>
      </c>
      <c r="C39" s="36">
        <v>0</v>
      </c>
      <c r="D39" s="36"/>
      <c r="K39" t="s">
        <v>153</v>
      </c>
      <c r="L39">
        <f>-SUMIFS(H$3:H$33,J$3:J$33,K$37)+M39*5</f>
        <v>-380</v>
      </c>
      <c r="M39">
        <f>SUMIFS(Q$3:Q$33,J$3:J$33,K$37)-INT(COUNTIFS(J$3:J$33,K$37,M$3:M$33,"*gộp*")/2)</f>
        <v>17</v>
      </c>
      <c r="O39" t="s">
        <v>32</v>
      </c>
      <c r="P39">
        <f>L51</f>
        <v>6668</v>
      </c>
    </row>
    <row r="40" spans="1:17" x14ac:dyDescent="0.25">
      <c r="B40" s="2" t="s">
        <v>154</v>
      </c>
      <c r="C40" s="36">
        <f>-SUMIFS(I$3:I$33,B$3:B$33,A$37,P$3:P$33,"xx",N$3:N$33,"x")</f>
        <v>0</v>
      </c>
      <c r="D40" s="36"/>
      <c r="E40" s="2">
        <f>SUMIFS(Q$3:Q$33,B$3:B$33,A$37,P$3:P$33,"xx",N$3:N$33,"x")</f>
        <v>0</v>
      </c>
      <c r="K40" t="s">
        <v>155</v>
      </c>
      <c r="O40" t="s">
        <v>2138</v>
      </c>
      <c r="P40">
        <f>L59</f>
        <v>3436</v>
      </c>
    </row>
    <row r="41" spans="1:17" x14ac:dyDescent="0.25">
      <c r="B41" s="4" t="s">
        <v>156</v>
      </c>
      <c r="C41" s="34">
        <f>SUBTOTAL(9,C38:C40)</f>
        <v>22960</v>
      </c>
      <c r="D41" s="34"/>
      <c r="E41">
        <f>E38</f>
        <v>31</v>
      </c>
      <c r="K41" s="12" t="s">
        <v>157</v>
      </c>
      <c r="O41" t="s">
        <v>158</v>
      </c>
      <c r="P41">
        <f>-C45</f>
        <v>-22960</v>
      </c>
    </row>
    <row r="42" spans="1:17" x14ac:dyDescent="0.25">
      <c r="B42" s="2" t="s">
        <v>159</v>
      </c>
      <c r="C42" s="32"/>
      <c r="D42" s="32"/>
      <c r="K42" s="2" t="s">
        <v>160</v>
      </c>
      <c r="O42" s="4" t="s">
        <v>161</v>
      </c>
      <c r="P42" s="4">
        <f>SUBTOTAL(9,P38:P41)</f>
        <v>109</v>
      </c>
    </row>
    <row r="43" spans="1:17" x14ac:dyDescent="0.25">
      <c r="B43" s="13" t="s">
        <v>162</v>
      </c>
      <c r="C43" s="32"/>
      <c r="D43" s="32"/>
      <c r="L43" s="14">
        <f>SUBTOTAL(9,L38:L42)</f>
        <v>12965</v>
      </c>
      <c r="M43" s="14">
        <f>M38</f>
        <v>17</v>
      </c>
    </row>
    <row r="45" spans="1:17" x14ac:dyDescent="0.25">
      <c r="B45" s="1" t="s">
        <v>163</v>
      </c>
      <c r="C45" s="33">
        <f>C41+C42+C43</f>
        <v>22960</v>
      </c>
      <c r="D45" s="33"/>
      <c r="E45" s="1" t="s">
        <v>164</v>
      </c>
      <c r="K45" s="11" t="s">
        <v>32</v>
      </c>
      <c r="L45" s="11" t="s">
        <v>146</v>
      </c>
      <c r="M45" s="11" t="s">
        <v>145</v>
      </c>
    </row>
    <row r="46" spans="1:17" x14ac:dyDescent="0.25">
      <c r="K46" t="s">
        <v>150</v>
      </c>
      <c r="L46">
        <f>SUMIFS(G$3:G$33,J$3:J$33,K$45)</f>
        <v>6975</v>
      </c>
      <c r="M46">
        <f>SUMIFS(Q$3:Q$33,J$3:J$33,K$45)-INT(COUNTIFS(J$3:J$33,K$45,M$3:M$33,"*gộp*")/2)</f>
        <v>10</v>
      </c>
    </row>
    <row r="47" spans="1:17" x14ac:dyDescent="0.25">
      <c r="K47" t="s">
        <v>153</v>
      </c>
      <c r="L47">
        <f>-SUMIFS(H$3:H$33,J$3:J$33,K$45)+M47*5</f>
        <v>-245</v>
      </c>
      <c r="M47">
        <f>SUMIFS(Q$3:Q$33,J$3:J$33,K$45)-INT(COUNTIFS(J$3:J$33,K$45,M$3:M$33,"*gộp*")/2)</f>
        <v>10</v>
      </c>
    </row>
    <row r="48" spans="1:17" x14ac:dyDescent="0.25">
      <c r="K48" t="s">
        <v>155</v>
      </c>
      <c r="L48">
        <f>-M48*2</f>
        <v>-62</v>
      </c>
      <c r="M48">
        <f>E41-(COUNTIFS(M$3:M$33,"*gộp*")/2)-COUNTIFS(M$3:M$33,"*đơn trả*")-COUNTIFS(M$3:M$33,"*hàng tỉnh*")</f>
        <v>31</v>
      </c>
    </row>
    <row r="49" spans="11:13" x14ac:dyDescent="0.25">
      <c r="K49" s="12" t="s">
        <v>157</v>
      </c>
    </row>
    <row r="50" spans="11:13" x14ac:dyDescent="0.25">
      <c r="K50" s="2" t="s">
        <v>160</v>
      </c>
    </row>
    <row r="51" spans="11:13" x14ac:dyDescent="0.25">
      <c r="L51" s="14">
        <f>SUBTOTAL(9,L46:L50)</f>
        <v>6668</v>
      </c>
      <c r="M51" s="14">
        <f>M46</f>
        <v>10</v>
      </c>
    </row>
    <row r="53" spans="11:13" x14ac:dyDescent="0.25">
      <c r="K53" s="11" t="s">
        <v>2066</v>
      </c>
      <c r="L53" s="11" t="s">
        <v>146</v>
      </c>
      <c r="M53" s="11" t="s">
        <v>145</v>
      </c>
    </row>
    <row r="54" spans="11:13" x14ac:dyDescent="0.25">
      <c r="K54" t="s">
        <v>150</v>
      </c>
      <c r="L54">
        <f>SUMIFS(G$3:G$33,J$3:J$33,K$53)</f>
        <v>3520</v>
      </c>
      <c r="M54">
        <f>SUMIFS(Q$3:Q$33,J$3:J$33,K$53)-INT(COUNTIFS(J$3:J$33,K$53,M$3:M$33,"*gộp*")/2)</f>
        <v>4</v>
      </c>
    </row>
    <row r="55" spans="11:13" x14ac:dyDescent="0.25">
      <c r="K55" t="s">
        <v>153</v>
      </c>
      <c r="L55">
        <f>SUM(H36:H37)</f>
        <v>-84</v>
      </c>
      <c r="M55">
        <f>SUMIFS(Q$3:Q$33,J$3:J$33,K$53)-INT(COUNTIFS(J$3:J$33,K$53,M$3:M$33,"*gộp*")/2)</f>
        <v>4</v>
      </c>
    </row>
    <row r="56" spans="11:13" x14ac:dyDescent="0.25">
      <c r="K56" t="s">
        <v>155</v>
      </c>
    </row>
    <row r="57" spans="11:13" x14ac:dyDescent="0.25">
      <c r="K57" s="12" t="s">
        <v>157</v>
      </c>
    </row>
    <row r="58" spans="11:13" x14ac:dyDescent="0.25">
      <c r="K58" s="2" t="s">
        <v>160</v>
      </c>
    </row>
    <row r="59" spans="11:13" x14ac:dyDescent="0.25">
      <c r="L59" s="14">
        <f>SUBTOTAL(9,L54:L58)</f>
        <v>3436</v>
      </c>
      <c r="M59" s="14">
        <f>M54</f>
        <v>4</v>
      </c>
    </row>
  </sheetData>
  <autoFilter ref="A2:P33" xr:uid="{00000000-0009-0000-0000-000018000000}">
    <sortState xmlns:xlrd2="http://schemas.microsoft.com/office/spreadsheetml/2017/richdata2" ref="A3:P33">
      <sortCondition ref="J2:J33"/>
    </sortState>
  </autoFilter>
  <mergeCells count="8">
    <mergeCell ref="C42:D42"/>
    <mergeCell ref="C43:D43"/>
    <mergeCell ref="C45:D45"/>
    <mergeCell ref="C37:D37"/>
    <mergeCell ref="C38:D38"/>
    <mergeCell ref="C39:D39"/>
    <mergeCell ref="C40:D40"/>
    <mergeCell ref="C41:D41"/>
  </mergeCells>
  <pageMargins left="0.75" right="0.75" top="0.75" bottom="0.5" header="0.5" footer="0.7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R54"/>
  <sheetViews>
    <sheetView zoomScale="90" zoomScaleNormal="90" workbookViewId="0"/>
  </sheetViews>
  <sheetFormatPr defaultRowHeight="15" x14ac:dyDescent="0.25"/>
  <cols>
    <col min="1" max="1" width="12.7109375" customWidth="1"/>
    <col min="2" max="2" width="17.7109375" customWidth="1"/>
    <col min="3" max="3" width="31.140625" customWidth="1"/>
    <col min="4" max="4" width="26.140625" customWidth="1"/>
    <col min="5" max="5" width="74.7109375" customWidth="1"/>
    <col min="6" max="6" width="10.855468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2.5703125" bestFit="1" customWidth="1"/>
    <col min="13" max="13" width="13.85546875" customWidth="1"/>
    <col min="14" max="14" width="9.7109375" customWidth="1"/>
    <col min="15" max="15" width="10.42578125" customWidth="1"/>
    <col min="16" max="16" width="7.28515625" bestFit="1" customWidth="1"/>
  </cols>
  <sheetData>
    <row r="2" spans="1:18" x14ac:dyDescent="0.25">
      <c r="A2" s="15" t="s">
        <v>10</v>
      </c>
      <c r="B2" s="15" t="s">
        <v>11</v>
      </c>
      <c r="C2" s="15" t="s">
        <v>12</v>
      </c>
      <c r="D2" s="15" t="s">
        <v>13</v>
      </c>
      <c r="E2" s="15" t="s">
        <v>14</v>
      </c>
      <c r="F2" s="15" t="s">
        <v>15</v>
      </c>
      <c r="G2" s="15" t="s">
        <v>16</v>
      </c>
      <c r="H2" s="15" t="s">
        <v>17</v>
      </c>
      <c r="I2" s="15" t="s">
        <v>18</v>
      </c>
      <c r="J2" s="15" t="s">
        <v>19</v>
      </c>
      <c r="K2" s="15" t="s">
        <v>20</v>
      </c>
      <c r="L2" s="15" t="s">
        <v>21</v>
      </c>
      <c r="M2" s="15" t="s">
        <v>22</v>
      </c>
      <c r="N2" s="15" t="s">
        <v>23</v>
      </c>
      <c r="O2" s="15" t="s">
        <v>24</v>
      </c>
      <c r="P2" s="15" t="s">
        <v>25</v>
      </c>
      <c r="Q2" s="16"/>
    </row>
    <row r="3" spans="1:18" x14ac:dyDescent="0.25">
      <c r="A3" s="16" t="s">
        <v>141</v>
      </c>
      <c r="B3" s="16" t="s">
        <v>26</v>
      </c>
      <c r="C3" s="16" t="s">
        <v>971</v>
      </c>
      <c r="D3" s="16"/>
      <c r="E3" s="16" t="s">
        <v>387</v>
      </c>
      <c r="F3" s="17">
        <v>6</v>
      </c>
      <c r="G3" s="17">
        <v>0</v>
      </c>
      <c r="H3" s="17">
        <v>30</v>
      </c>
      <c r="I3" s="17">
        <f t="shared" ref="I3:I28" si="0">G3-H3</f>
        <v>-30</v>
      </c>
      <c r="J3" s="16" t="s">
        <v>2139</v>
      </c>
      <c r="K3" s="16" t="s">
        <v>32</v>
      </c>
      <c r="L3" s="16" t="s">
        <v>2140</v>
      </c>
      <c r="M3" s="16"/>
      <c r="N3" s="16"/>
      <c r="O3" s="16"/>
      <c r="P3" s="16"/>
      <c r="Q3" s="16">
        <v>1</v>
      </c>
      <c r="R3" s="10">
        <f>H3</f>
        <v>30</v>
      </c>
    </row>
    <row r="4" spans="1:18" x14ac:dyDescent="0.25">
      <c r="A4" s="16"/>
      <c r="B4" s="16" t="s">
        <v>26</v>
      </c>
      <c r="C4" s="16" t="s">
        <v>196</v>
      </c>
      <c r="D4" s="16" t="s">
        <v>2141</v>
      </c>
      <c r="E4" s="16" t="s">
        <v>198</v>
      </c>
      <c r="F4" s="16" t="s">
        <v>40</v>
      </c>
      <c r="G4" s="17">
        <v>925</v>
      </c>
      <c r="H4" s="17">
        <v>35</v>
      </c>
      <c r="I4" s="17">
        <f t="shared" si="0"/>
        <v>890</v>
      </c>
      <c r="J4" s="16" t="s">
        <v>2139</v>
      </c>
      <c r="K4" s="16" t="s">
        <v>32</v>
      </c>
      <c r="L4" s="16" t="s">
        <v>2140</v>
      </c>
      <c r="M4" s="16"/>
      <c r="N4" s="16"/>
      <c r="O4" s="16"/>
      <c r="P4" s="16"/>
      <c r="Q4" s="16">
        <v>1</v>
      </c>
    </row>
    <row r="5" spans="1:18" x14ac:dyDescent="0.25">
      <c r="A5" s="16"/>
      <c r="B5" s="16" t="s">
        <v>26</v>
      </c>
      <c r="C5" s="16" t="s">
        <v>2142</v>
      </c>
      <c r="D5" s="16" t="s">
        <v>2143</v>
      </c>
      <c r="E5" s="16" t="s">
        <v>2144</v>
      </c>
      <c r="F5" s="16" t="s">
        <v>40</v>
      </c>
      <c r="G5" s="17">
        <v>0</v>
      </c>
      <c r="H5" s="17">
        <v>35</v>
      </c>
      <c r="I5" s="17">
        <f t="shared" si="0"/>
        <v>-35</v>
      </c>
      <c r="J5" s="16" t="s">
        <v>2139</v>
      </c>
      <c r="K5" s="16" t="s">
        <v>32</v>
      </c>
      <c r="L5" s="16" t="s">
        <v>2140</v>
      </c>
      <c r="M5" s="16"/>
      <c r="N5" s="16"/>
      <c r="O5" s="16"/>
      <c r="P5" s="16"/>
      <c r="Q5" s="16">
        <v>1</v>
      </c>
      <c r="R5" s="10">
        <f>H5</f>
        <v>35</v>
      </c>
    </row>
    <row r="6" spans="1:18" x14ac:dyDescent="0.25">
      <c r="A6" s="16"/>
      <c r="B6" s="16" t="s">
        <v>26</v>
      </c>
      <c r="C6" s="16" t="s">
        <v>808</v>
      </c>
      <c r="D6" s="16" t="s">
        <v>2145</v>
      </c>
      <c r="E6" s="16" t="s">
        <v>810</v>
      </c>
      <c r="F6" s="17">
        <v>9</v>
      </c>
      <c r="G6" s="17">
        <v>950</v>
      </c>
      <c r="H6" s="17">
        <v>30</v>
      </c>
      <c r="I6" s="17">
        <f t="shared" si="0"/>
        <v>920</v>
      </c>
      <c r="J6" s="16" t="s">
        <v>2139</v>
      </c>
      <c r="K6" s="16" t="s">
        <v>32</v>
      </c>
      <c r="L6" s="16" t="s">
        <v>2140</v>
      </c>
      <c r="M6" s="16"/>
      <c r="N6" s="16"/>
      <c r="O6" s="16"/>
      <c r="P6" s="16"/>
      <c r="Q6" s="16">
        <v>1</v>
      </c>
    </row>
    <row r="7" spans="1:18" x14ac:dyDescent="0.25">
      <c r="A7" s="16"/>
      <c r="B7" s="16" t="s">
        <v>26</v>
      </c>
      <c r="C7" s="16" t="s">
        <v>840</v>
      </c>
      <c r="D7" s="16" t="s">
        <v>2146</v>
      </c>
      <c r="E7" s="16" t="s">
        <v>842</v>
      </c>
      <c r="F7" s="16" t="s">
        <v>51</v>
      </c>
      <c r="G7" s="17">
        <v>720</v>
      </c>
      <c r="H7" s="17">
        <v>30</v>
      </c>
      <c r="I7" s="17">
        <f t="shared" si="0"/>
        <v>690</v>
      </c>
      <c r="J7" s="16" t="s">
        <v>2139</v>
      </c>
      <c r="K7" s="16" t="s">
        <v>32</v>
      </c>
      <c r="L7" s="16" t="s">
        <v>2140</v>
      </c>
      <c r="M7" s="16"/>
      <c r="N7" s="16"/>
      <c r="O7" s="16"/>
      <c r="P7" s="16"/>
      <c r="Q7" s="16">
        <v>1</v>
      </c>
    </row>
    <row r="8" spans="1:18" x14ac:dyDescent="0.25">
      <c r="A8" s="16"/>
      <c r="B8" s="16" t="s">
        <v>26</v>
      </c>
      <c r="C8" s="16" t="s">
        <v>2147</v>
      </c>
      <c r="D8" s="16" t="s">
        <v>2148</v>
      </c>
      <c r="E8" s="16" t="s">
        <v>2149</v>
      </c>
      <c r="F8" s="16" t="s">
        <v>30</v>
      </c>
      <c r="G8" s="17">
        <v>0</v>
      </c>
      <c r="H8" s="17">
        <v>25</v>
      </c>
      <c r="I8" s="17">
        <f t="shared" si="0"/>
        <v>-25</v>
      </c>
      <c r="J8" s="16" t="s">
        <v>2139</v>
      </c>
      <c r="K8" s="16" t="s">
        <v>32</v>
      </c>
      <c r="L8" s="16" t="s">
        <v>2140</v>
      </c>
      <c r="M8" s="16"/>
      <c r="N8" s="16"/>
      <c r="O8" s="16"/>
      <c r="P8" s="16"/>
      <c r="Q8" s="16">
        <v>1</v>
      </c>
      <c r="R8" s="10">
        <f>H8</f>
        <v>25</v>
      </c>
    </row>
    <row r="9" spans="1:18" x14ac:dyDescent="0.25">
      <c r="A9" s="16"/>
      <c r="B9" s="16" t="s">
        <v>26</v>
      </c>
      <c r="C9" s="16" t="s">
        <v>391</v>
      </c>
      <c r="D9" s="16" t="s">
        <v>2150</v>
      </c>
      <c r="E9" s="16" t="s">
        <v>393</v>
      </c>
      <c r="F9" s="16" t="s">
        <v>51</v>
      </c>
      <c r="G9" s="17">
        <v>0</v>
      </c>
      <c r="H9" s="17">
        <v>30</v>
      </c>
      <c r="I9" s="17">
        <f t="shared" si="0"/>
        <v>-30</v>
      </c>
      <c r="J9" s="16" t="s">
        <v>2139</v>
      </c>
      <c r="K9" s="16" t="s">
        <v>32</v>
      </c>
      <c r="L9" s="16" t="s">
        <v>2140</v>
      </c>
      <c r="M9" s="16"/>
      <c r="N9" s="16"/>
      <c r="O9" s="16"/>
      <c r="P9" s="16"/>
      <c r="Q9" s="16">
        <v>1</v>
      </c>
      <c r="R9" s="10">
        <f>H9</f>
        <v>30</v>
      </c>
    </row>
    <row r="10" spans="1:18" x14ac:dyDescent="0.25">
      <c r="A10" s="16"/>
      <c r="B10" s="16" t="s">
        <v>26</v>
      </c>
      <c r="C10" s="16" t="s">
        <v>1367</v>
      </c>
      <c r="D10" s="16" t="s">
        <v>2151</v>
      </c>
      <c r="E10" s="16" t="s">
        <v>2152</v>
      </c>
      <c r="F10" s="17">
        <v>12</v>
      </c>
      <c r="G10" s="17">
        <v>670</v>
      </c>
      <c r="H10" s="17">
        <v>30</v>
      </c>
      <c r="I10" s="17">
        <f t="shared" si="0"/>
        <v>640</v>
      </c>
      <c r="J10" s="16" t="s">
        <v>32</v>
      </c>
      <c r="K10" s="16" t="s">
        <v>32</v>
      </c>
      <c r="L10" s="16" t="s">
        <v>2140</v>
      </c>
      <c r="M10" s="16"/>
      <c r="N10" s="16"/>
      <c r="O10" s="16"/>
      <c r="P10" s="16"/>
      <c r="Q10" s="16">
        <v>1</v>
      </c>
    </row>
    <row r="11" spans="1:18" x14ac:dyDescent="0.25">
      <c r="A11" s="16"/>
      <c r="B11" s="16" t="s">
        <v>26</v>
      </c>
      <c r="C11" s="16" t="s">
        <v>2153</v>
      </c>
      <c r="D11" s="16" t="s">
        <v>2154</v>
      </c>
      <c r="E11" s="16" t="s">
        <v>2155</v>
      </c>
      <c r="F11" s="16" t="s">
        <v>82</v>
      </c>
      <c r="G11" s="17">
        <v>895</v>
      </c>
      <c r="H11" s="17">
        <v>25</v>
      </c>
      <c r="I11" s="17">
        <f t="shared" si="0"/>
        <v>870</v>
      </c>
      <c r="J11" s="16" t="s">
        <v>32</v>
      </c>
      <c r="K11" s="16" t="s">
        <v>32</v>
      </c>
      <c r="L11" s="16" t="s">
        <v>2140</v>
      </c>
      <c r="M11" s="16"/>
      <c r="N11" s="16"/>
      <c r="O11" s="16"/>
      <c r="P11" s="16"/>
      <c r="Q11" s="16">
        <v>1</v>
      </c>
    </row>
    <row r="12" spans="1:18" x14ac:dyDescent="0.25">
      <c r="A12" s="16"/>
      <c r="B12" s="16" t="s">
        <v>26</v>
      </c>
      <c r="C12" s="16" t="s">
        <v>2156</v>
      </c>
      <c r="D12" s="16" t="s">
        <v>2157</v>
      </c>
      <c r="E12" s="16" t="s">
        <v>2158</v>
      </c>
      <c r="F12" s="17">
        <v>9</v>
      </c>
      <c r="G12" s="17">
        <v>1380</v>
      </c>
      <c r="H12" s="17">
        <v>30</v>
      </c>
      <c r="I12" s="17">
        <f t="shared" si="0"/>
        <v>1350</v>
      </c>
      <c r="J12" s="16" t="s">
        <v>32</v>
      </c>
      <c r="K12" s="16" t="s">
        <v>32</v>
      </c>
      <c r="L12" s="16" t="s">
        <v>2140</v>
      </c>
      <c r="M12" s="16"/>
      <c r="N12" s="16"/>
      <c r="O12" s="16"/>
      <c r="P12" s="16"/>
      <c r="Q12" s="16">
        <v>1</v>
      </c>
    </row>
    <row r="13" spans="1:18" x14ac:dyDescent="0.25">
      <c r="A13" s="16"/>
      <c r="B13" s="16" t="s">
        <v>26</v>
      </c>
      <c r="C13" s="16" t="s">
        <v>877</v>
      </c>
      <c r="D13" s="16" t="s">
        <v>2159</v>
      </c>
      <c r="E13" s="16" t="s">
        <v>879</v>
      </c>
      <c r="F13" s="16" t="s">
        <v>82</v>
      </c>
      <c r="G13" s="17">
        <v>1065</v>
      </c>
      <c r="H13" s="17">
        <v>25</v>
      </c>
      <c r="I13" s="17">
        <f t="shared" si="0"/>
        <v>1040</v>
      </c>
      <c r="J13" s="16" t="s">
        <v>32</v>
      </c>
      <c r="K13" s="16" t="s">
        <v>32</v>
      </c>
      <c r="L13" s="16" t="s">
        <v>2140</v>
      </c>
      <c r="M13" s="16"/>
      <c r="N13" s="16"/>
      <c r="O13" s="16"/>
      <c r="P13" s="16"/>
      <c r="Q13" s="16">
        <v>1</v>
      </c>
    </row>
    <row r="14" spans="1:18" x14ac:dyDescent="0.25">
      <c r="A14" s="16"/>
      <c r="B14" s="16" t="s">
        <v>26</v>
      </c>
      <c r="C14" s="16" t="s">
        <v>1420</v>
      </c>
      <c r="D14" s="16" t="s">
        <v>2160</v>
      </c>
      <c r="E14" s="16" t="s">
        <v>2161</v>
      </c>
      <c r="F14" s="16" t="s">
        <v>82</v>
      </c>
      <c r="G14" s="17">
        <v>945</v>
      </c>
      <c r="H14" s="17">
        <v>25</v>
      </c>
      <c r="I14" s="17">
        <f t="shared" si="0"/>
        <v>920</v>
      </c>
      <c r="J14" s="16" t="s">
        <v>32</v>
      </c>
      <c r="K14" s="16" t="s">
        <v>32</v>
      </c>
      <c r="L14" s="16" t="s">
        <v>2140</v>
      </c>
      <c r="M14" s="16"/>
      <c r="N14" s="16"/>
      <c r="O14" s="16"/>
      <c r="P14" s="16"/>
      <c r="Q14" s="16">
        <v>1</v>
      </c>
    </row>
    <row r="15" spans="1:18" x14ac:dyDescent="0.25">
      <c r="A15" s="16"/>
      <c r="B15" s="16" t="s">
        <v>26</v>
      </c>
      <c r="C15" s="16" t="s">
        <v>222</v>
      </c>
      <c r="D15" s="16" t="s">
        <v>2162</v>
      </c>
      <c r="E15" s="16" t="s">
        <v>2163</v>
      </c>
      <c r="F15" s="17">
        <v>2</v>
      </c>
      <c r="G15" s="17">
        <v>920</v>
      </c>
      <c r="H15" s="17">
        <v>30</v>
      </c>
      <c r="I15" s="17">
        <f t="shared" si="0"/>
        <v>890</v>
      </c>
      <c r="J15" s="16" t="s">
        <v>32</v>
      </c>
      <c r="K15" s="16" t="s">
        <v>32</v>
      </c>
      <c r="L15" s="16" t="s">
        <v>2140</v>
      </c>
      <c r="M15" s="16"/>
      <c r="N15" s="16"/>
      <c r="O15" s="16"/>
      <c r="P15" s="16"/>
      <c r="Q15" s="16">
        <v>1</v>
      </c>
    </row>
    <row r="16" spans="1:18" x14ac:dyDescent="0.25">
      <c r="A16" s="16"/>
      <c r="B16" s="16" t="s">
        <v>26</v>
      </c>
      <c r="C16" s="16" t="s">
        <v>2164</v>
      </c>
      <c r="D16" s="16" t="s">
        <v>2165</v>
      </c>
      <c r="E16" s="16" t="s">
        <v>2166</v>
      </c>
      <c r="F16" s="17">
        <v>12</v>
      </c>
      <c r="G16" s="17">
        <v>0</v>
      </c>
      <c r="H16" s="17">
        <v>30</v>
      </c>
      <c r="I16" s="17">
        <f t="shared" si="0"/>
        <v>-30</v>
      </c>
      <c r="J16" s="16" t="s">
        <v>32</v>
      </c>
      <c r="K16" s="16" t="s">
        <v>32</v>
      </c>
      <c r="L16" s="16" t="s">
        <v>2140</v>
      </c>
      <c r="M16" s="16"/>
      <c r="N16" s="16"/>
      <c r="O16" s="16"/>
      <c r="P16" s="16"/>
      <c r="Q16" s="16">
        <v>1</v>
      </c>
      <c r="R16" s="10">
        <f>H16</f>
        <v>30</v>
      </c>
    </row>
    <row r="17" spans="1:18" x14ac:dyDescent="0.25">
      <c r="A17" s="16"/>
      <c r="B17" s="16" t="s">
        <v>26</v>
      </c>
      <c r="C17" s="16" t="s">
        <v>2167</v>
      </c>
      <c r="D17" s="16" t="s">
        <v>2168</v>
      </c>
      <c r="E17" s="16" t="s">
        <v>2169</v>
      </c>
      <c r="F17" s="16" t="s">
        <v>82</v>
      </c>
      <c r="G17" s="17">
        <v>646</v>
      </c>
      <c r="H17" s="17">
        <v>25</v>
      </c>
      <c r="I17" s="17">
        <f t="shared" si="0"/>
        <v>621</v>
      </c>
      <c r="J17" s="16" t="s">
        <v>32</v>
      </c>
      <c r="K17" s="16" t="s">
        <v>32</v>
      </c>
      <c r="L17" s="16" t="s">
        <v>2140</v>
      </c>
      <c r="M17" s="16"/>
      <c r="N17" s="16"/>
      <c r="O17" s="16"/>
      <c r="P17" s="16"/>
      <c r="Q17" s="16">
        <v>1</v>
      </c>
    </row>
    <row r="18" spans="1:18" x14ac:dyDescent="0.25">
      <c r="A18" s="16"/>
      <c r="B18" s="16" t="s">
        <v>26</v>
      </c>
      <c r="C18" s="16" t="s">
        <v>2170</v>
      </c>
      <c r="D18" s="16" t="s">
        <v>2171</v>
      </c>
      <c r="E18" s="16" t="s">
        <v>2172</v>
      </c>
      <c r="F18" s="16" t="s">
        <v>89</v>
      </c>
      <c r="G18" s="17">
        <v>380</v>
      </c>
      <c r="H18" s="17">
        <v>30</v>
      </c>
      <c r="I18" s="17">
        <f t="shared" si="0"/>
        <v>350</v>
      </c>
      <c r="J18" s="16" t="s">
        <v>32</v>
      </c>
      <c r="K18" s="16" t="s">
        <v>32</v>
      </c>
      <c r="L18" s="16" t="s">
        <v>2140</v>
      </c>
      <c r="M18" s="16"/>
      <c r="N18" s="16"/>
      <c r="O18" s="16"/>
      <c r="P18" s="16"/>
      <c r="Q18" s="16">
        <v>1</v>
      </c>
    </row>
    <row r="19" spans="1:18" x14ac:dyDescent="0.25">
      <c r="A19" s="16"/>
      <c r="B19" s="16" t="s">
        <v>26</v>
      </c>
      <c r="C19" s="16" t="s">
        <v>318</v>
      </c>
      <c r="D19" s="16" t="s">
        <v>2173</v>
      </c>
      <c r="E19" s="16" t="s">
        <v>320</v>
      </c>
      <c r="F19" s="16" t="s">
        <v>82</v>
      </c>
      <c r="G19" s="17">
        <v>915</v>
      </c>
      <c r="H19" s="17">
        <v>25</v>
      </c>
      <c r="I19" s="17">
        <f t="shared" si="0"/>
        <v>890</v>
      </c>
      <c r="J19" s="16" t="s">
        <v>32</v>
      </c>
      <c r="K19" s="16" t="s">
        <v>32</v>
      </c>
      <c r="L19" s="16" t="s">
        <v>2140</v>
      </c>
      <c r="M19" s="16"/>
      <c r="N19" s="16"/>
      <c r="O19" s="16"/>
      <c r="P19" s="16"/>
      <c r="Q19" s="16">
        <v>1</v>
      </c>
    </row>
    <row r="20" spans="1:18" x14ac:dyDescent="0.25">
      <c r="A20" s="16"/>
      <c r="B20" s="16" t="s">
        <v>26</v>
      </c>
      <c r="C20" s="16" t="s">
        <v>462</v>
      </c>
      <c r="D20" s="16" t="s">
        <v>2174</v>
      </c>
      <c r="E20" s="16" t="s">
        <v>656</v>
      </c>
      <c r="F20" s="17">
        <v>9</v>
      </c>
      <c r="G20" s="17">
        <v>920</v>
      </c>
      <c r="H20" s="17">
        <v>30</v>
      </c>
      <c r="I20" s="17">
        <f t="shared" si="0"/>
        <v>890</v>
      </c>
      <c r="J20" s="16" t="s">
        <v>32</v>
      </c>
      <c r="K20" s="16" t="s">
        <v>32</v>
      </c>
      <c r="L20" s="16" t="s">
        <v>2140</v>
      </c>
      <c r="M20" s="16"/>
      <c r="N20" s="16"/>
      <c r="O20" s="16"/>
      <c r="P20" s="16"/>
      <c r="Q20" s="16">
        <v>1</v>
      </c>
    </row>
    <row r="21" spans="1:18" x14ac:dyDescent="0.25">
      <c r="A21" s="16" t="s">
        <v>141</v>
      </c>
      <c r="B21" s="16" t="s">
        <v>26</v>
      </c>
      <c r="C21" s="16" t="s">
        <v>2175</v>
      </c>
      <c r="D21" s="16"/>
      <c r="E21" s="16" t="s">
        <v>143</v>
      </c>
      <c r="F21" s="17">
        <v>5</v>
      </c>
      <c r="G21" s="17">
        <v>0</v>
      </c>
      <c r="H21" s="17">
        <v>50</v>
      </c>
      <c r="I21" s="17">
        <f t="shared" si="0"/>
        <v>-50</v>
      </c>
      <c r="J21" s="16" t="s">
        <v>103</v>
      </c>
      <c r="K21" s="16" t="s">
        <v>32</v>
      </c>
      <c r="L21" s="16" t="s">
        <v>2140</v>
      </c>
      <c r="M21" s="16"/>
      <c r="N21" s="16"/>
      <c r="O21" s="16"/>
      <c r="P21" s="16"/>
      <c r="Q21" s="16">
        <v>1</v>
      </c>
      <c r="R21" s="10">
        <f>H21</f>
        <v>50</v>
      </c>
    </row>
    <row r="22" spans="1:18" x14ac:dyDescent="0.25">
      <c r="A22" s="16" t="s">
        <v>141</v>
      </c>
      <c r="B22" s="16" t="s">
        <v>26</v>
      </c>
      <c r="C22" s="16" t="s">
        <v>1054</v>
      </c>
      <c r="D22" s="16"/>
      <c r="E22" s="16" t="s">
        <v>1697</v>
      </c>
      <c r="F22" s="17">
        <v>5</v>
      </c>
      <c r="G22" s="17">
        <v>1400</v>
      </c>
      <c r="H22" s="17">
        <v>30</v>
      </c>
      <c r="I22" s="17">
        <f t="shared" si="0"/>
        <v>1370</v>
      </c>
      <c r="J22" s="16" t="s">
        <v>103</v>
      </c>
      <c r="K22" s="16" t="s">
        <v>32</v>
      </c>
      <c r="L22" s="16" t="s">
        <v>2140</v>
      </c>
      <c r="M22" s="16"/>
      <c r="N22" s="16"/>
      <c r="O22" s="16"/>
      <c r="P22" s="16"/>
      <c r="Q22" s="16">
        <v>1</v>
      </c>
    </row>
    <row r="23" spans="1:18" x14ac:dyDescent="0.25">
      <c r="A23" s="16"/>
      <c r="B23" s="16" t="s">
        <v>26</v>
      </c>
      <c r="C23" s="16" t="s">
        <v>2176</v>
      </c>
      <c r="D23" s="16" t="s">
        <v>2177</v>
      </c>
      <c r="E23" s="16" t="s">
        <v>2178</v>
      </c>
      <c r="F23" s="17">
        <v>7</v>
      </c>
      <c r="G23" s="17">
        <v>920</v>
      </c>
      <c r="H23" s="17">
        <v>30</v>
      </c>
      <c r="I23" s="17">
        <f t="shared" si="0"/>
        <v>890</v>
      </c>
      <c r="J23" s="16" t="s">
        <v>103</v>
      </c>
      <c r="K23" s="16" t="s">
        <v>32</v>
      </c>
      <c r="L23" s="16" t="s">
        <v>2140</v>
      </c>
      <c r="M23" s="16"/>
      <c r="N23" s="16"/>
      <c r="O23" s="16"/>
      <c r="P23" s="16"/>
      <c r="Q23" s="16">
        <v>1</v>
      </c>
    </row>
    <row r="24" spans="1:18" x14ac:dyDescent="0.25">
      <c r="A24" s="16"/>
      <c r="B24" s="16" t="s">
        <v>26</v>
      </c>
      <c r="C24" s="16" t="s">
        <v>2179</v>
      </c>
      <c r="D24" s="16" t="s">
        <v>2180</v>
      </c>
      <c r="E24" s="16" t="s">
        <v>2181</v>
      </c>
      <c r="F24" s="17">
        <v>1</v>
      </c>
      <c r="G24" s="17">
        <v>2220</v>
      </c>
      <c r="H24" s="17">
        <v>30</v>
      </c>
      <c r="I24" s="17">
        <f t="shared" si="0"/>
        <v>2190</v>
      </c>
      <c r="J24" s="16" t="s">
        <v>103</v>
      </c>
      <c r="K24" s="16" t="s">
        <v>32</v>
      </c>
      <c r="L24" s="16" t="s">
        <v>2140</v>
      </c>
      <c r="M24" s="18" t="s">
        <v>55</v>
      </c>
      <c r="N24" s="16"/>
      <c r="O24" s="16"/>
      <c r="P24" s="16"/>
      <c r="Q24" s="16">
        <v>1</v>
      </c>
      <c r="R24" s="10">
        <f>H24</f>
        <v>30</v>
      </c>
    </row>
    <row r="25" spans="1:18" x14ac:dyDescent="0.25">
      <c r="A25" s="16"/>
      <c r="B25" s="16" t="s">
        <v>26</v>
      </c>
      <c r="C25" s="16" t="s">
        <v>2182</v>
      </c>
      <c r="D25" s="16" t="s">
        <v>2183</v>
      </c>
      <c r="E25" s="16" t="s">
        <v>2184</v>
      </c>
      <c r="F25" s="17">
        <v>7</v>
      </c>
      <c r="G25" s="17">
        <v>720</v>
      </c>
      <c r="H25" s="17">
        <v>30</v>
      </c>
      <c r="I25" s="17">
        <f t="shared" si="0"/>
        <v>690</v>
      </c>
      <c r="J25" s="16" t="s">
        <v>103</v>
      </c>
      <c r="K25" s="16" t="s">
        <v>32</v>
      </c>
      <c r="L25" s="16" t="s">
        <v>2140</v>
      </c>
      <c r="M25" s="16"/>
      <c r="N25" s="16"/>
      <c r="O25" s="16"/>
      <c r="P25" s="16"/>
      <c r="Q25" s="16">
        <v>1</v>
      </c>
    </row>
    <row r="26" spans="1:18" x14ac:dyDescent="0.25">
      <c r="A26" s="16"/>
      <c r="B26" s="16" t="s">
        <v>26</v>
      </c>
      <c r="C26" s="16" t="s">
        <v>2185</v>
      </c>
      <c r="D26" s="16" t="s">
        <v>2186</v>
      </c>
      <c r="E26" s="16" t="s">
        <v>1451</v>
      </c>
      <c r="F26" s="17">
        <v>10</v>
      </c>
      <c r="G26" s="17">
        <v>705</v>
      </c>
      <c r="H26" s="17">
        <v>25</v>
      </c>
      <c r="I26" s="17">
        <f t="shared" si="0"/>
        <v>680</v>
      </c>
      <c r="J26" s="16" t="s">
        <v>103</v>
      </c>
      <c r="K26" s="16" t="s">
        <v>32</v>
      </c>
      <c r="L26" s="16" t="s">
        <v>2140</v>
      </c>
      <c r="M26" s="16"/>
      <c r="N26" s="16"/>
      <c r="O26" s="16"/>
      <c r="P26" s="16"/>
      <c r="Q26" s="16">
        <v>1</v>
      </c>
    </row>
    <row r="27" spans="1:18" x14ac:dyDescent="0.25">
      <c r="A27" s="16"/>
      <c r="B27" s="16" t="s">
        <v>26</v>
      </c>
      <c r="C27" s="16" t="s">
        <v>2187</v>
      </c>
      <c r="D27" s="16" t="s">
        <v>2188</v>
      </c>
      <c r="E27" s="16" t="s">
        <v>2189</v>
      </c>
      <c r="F27" s="16" t="s">
        <v>93</v>
      </c>
      <c r="G27" s="17">
        <v>0</v>
      </c>
      <c r="H27" s="17">
        <v>25</v>
      </c>
      <c r="I27" s="17">
        <f t="shared" si="0"/>
        <v>-25</v>
      </c>
      <c r="J27" s="16" t="s">
        <v>103</v>
      </c>
      <c r="K27" s="16" t="s">
        <v>32</v>
      </c>
      <c r="L27" s="16" t="s">
        <v>2140</v>
      </c>
      <c r="M27" s="16"/>
      <c r="N27" s="16"/>
      <c r="O27" s="16"/>
      <c r="P27" s="16"/>
      <c r="Q27" s="16">
        <v>1</v>
      </c>
      <c r="R27" s="10">
        <f>H27</f>
        <v>25</v>
      </c>
    </row>
    <row r="28" spans="1:18" x14ac:dyDescent="0.25">
      <c r="A28" s="16"/>
      <c r="B28" s="16" t="s">
        <v>26</v>
      </c>
      <c r="C28" s="16" t="s">
        <v>2190</v>
      </c>
      <c r="D28" s="16" t="s">
        <v>2191</v>
      </c>
      <c r="E28" s="16" t="s">
        <v>2192</v>
      </c>
      <c r="F28" s="16" t="s">
        <v>93</v>
      </c>
      <c r="G28" s="17">
        <v>0</v>
      </c>
      <c r="H28" s="17">
        <v>25</v>
      </c>
      <c r="I28" s="17">
        <f t="shared" si="0"/>
        <v>-25</v>
      </c>
      <c r="J28" s="16" t="s">
        <v>103</v>
      </c>
      <c r="K28" s="16" t="s">
        <v>32</v>
      </c>
      <c r="L28" s="16" t="s">
        <v>2140</v>
      </c>
      <c r="M28" s="16"/>
      <c r="N28" s="16"/>
      <c r="O28" s="16"/>
      <c r="P28" s="16"/>
      <c r="Q28" s="16">
        <v>1</v>
      </c>
      <c r="R28" s="10">
        <f>H28</f>
        <v>25</v>
      </c>
    </row>
    <row r="30" spans="1:18" x14ac:dyDescent="0.25">
      <c r="D30" s="1">
        <f>COUNTA(D3:D28)</f>
        <v>23</v>
      </c>
      <c r="G30" s="1">
        <f t="shared" ref="G30:Q30" si="1">SUBTOTAL(9,G3:G28)</f>
        <v>17296</v>
      </c>
      <c r="H30" s="1">
        <f t="shared" si="1"/>
        <v>765</v>
      </c>
      <c r="I30" s="1">
        <f t="shared" si="1"/>
        <v>16531</v>
      </c>
      <c r="J30" s="1">
        <f t="shared" si="1"/>
        <v>0</v>
      </c>
      <c r="K30" s="1">
        <f t="shared" si="1"/>
        <v>0</v>
      </c>
      <c r="L30" s="1">
        <f t="shared" si="1"/>
        <v>0</v>
      </c>
      <c r="M30" s="1">
        <f t="shared" si="1"/>
        <v>0</v>
      </c>
      <c r="N30" s="1">
        <f t="shared" si="1"/>
        <v>0</v>
      </c>
      <c r="O30" s="1">
        <f t="shared" si="1"/>
        <v>0</v>
      </c>
      <c r="P30" s="1">
        <f t="shared" si="1"/>
        <v>0</v>
      </c>
      <c r="Q30" s="1">
        <f t="shared" si="1"/>
        <v>26</v>
      </c>
    </row>
    <row r="31" spans="1:18" x14ac:dyDescent="0.25">
      <c r="H31">
        <f>-2*17</f>
        <v>-34</v>
      </c>
    </row>
    <row r="32" spans="1:18" x14ac:dyDescent="0.25">
      <c r="A32" s="1" t="s">
        <v>26</v>
      </c>
      <c r="C32" s="34" t="s">
        <v>144</v>
      </c>
      <c r="D32" s="34"/>
      <c r="E32" s="4" t="s">
        <v>145</v>
      </c>
      <c r="H32">
        <f>-3*25</f>
        <v>-75</v>
      </c>
      <c r="K32" s="11" t="s">
        <v>103</v>
      </c>
      <c r="L32" s="11" t="s">
        <v>146</v>
      </c>
      <c r="M32" s="11" t="s">
        <v>145</v>
      </c>
      <c r="O32" s="4" t="s">
        <v>147</v>
      </c>
    </row>
    <row r="33" spans="1:16" x14ac:dyDescent="0.25">
      <c r="A33" t="s">
        <v>2140</v>
      </c>
      <c r="B33" s="3" t="s">
        <v>148</v>
      </c>
      <c r="C33" s="35">
        <f>SUMIFS(I$3:I$28,B$3:B$28,A$32,L$3:L$28,A$33)</f>
        <v>16531</v>
      </c>
      <c r="D33" s="35"/>
      <c r="E33" s="3">
        <f>SUMIFS(Q$3:Q$28,B$3:B$28,A$32,L$3:L$28,A$33)</f>
        <v>26</v>
      </c>
      <c r="F33" t="s">
        <v>149</v>
      </c>
      <c r="H33">
        <f>-2*30</f>
        <v>-60</v>
      </c>
      <c r="K33" t="s">
        <v>150</v>
      </c>
      <c r="L33">
        <f>SUMIFS(G$3:G$28,J$3:J$28,K$32)</f>
        <v>5965</v>
      </c>
      <c r="M33">
        <f>SUMIFS(Q$3:Q$28,J$3:J$28,K$32)-INT(COUNTIFS(J$3:J$28,K$32,M$3:M$28,"*gộp*")/2)</f>
        <v>8</v>
      </c>
      <c r="O33" t="s">
        <v>103</v>
      </c>
      <c r="P33">
        <f>L38</f>
        <v>5760</v>
      </c>
    </row>
    <row r="34" spans="1:16" x14ac:dyDescent="0.25">
      <c r="B34" s="2" t="s">
        <v>152</v>
      </c>
      <c r="C34" s="36">
        <v>0</v>
      </c>
      <c r="D34" s="36"/>
      <c r="K34" t="s">
        <v>153</v>
      </c>
      <c r="L34">
        <f>-SUMIFS(H$3:H$28,J$3:J$28,K$32)+M34*5</f>
        <v>-205</v>
      </c>
      <c r="M34">
        <f>SUMIFS(Q$3:Q$28,J$3:J$28,K$32)-INT(COUNTIFS(J$3:J$28,K$32,M$3:M$28,"*gộp*")/2)</f>
        <v>8</v>
      </c>
      <c r="O34" t="s">
        <v>2193</v>
      </c>
      <c r="P34">
        <f>L46</f>
        <v>2426</v>
      </c>
    </row>
    <row r="35" spans="1:16" x14ac:dyDescent="0.25">
      <c r="B35" s="2" t="s">
        <v>154</v>
      </c>
      <c r="C35" s="36">
        <f>-SUMIFS(I$3:I$28,B$3:B$28,A$32,P$3:P$28,"xx",N$3:N$28,"x")</f>
        <v>0</v>
      </c>
      <c r="D35" s="36"/>
      <c r="E35" s="2">
        <f>SUMIFS(Q$3:Q$28,B$3:B$28,A$32,P$3:P$28,"xx",N$3:N$28,"x")</f>
        <v>0</v>
      </c>
      <c r="K35" t="s">
        <v>155</v>
      </c>
      <c r="O35" t="s">
        <v>32</v>
      </c>
      <c r="P35">
        <f>L54</f>
        <v>8434</v>
      </c>
    </row>
    <row r="36" spans="1:16" x14ac:dyDescent="0.25">
      <c r="B36" s="4" t="s">
        <v>156</v>
      </c>
      <c r="C36" s="34">
        <f>SUBTOTAL(9,C33:C35)</f>
        <v>16531</v>
      </c>
      <c r="D36" s="34"/>
      <c r="E36">
        <f>E33</f>
        <v>26</v>
      </c>
      <c r="K36" s="12" t="s">
        <v>157</v>
      </c>
      <c r="O36" t="s">
        <v>158</v>
      </c>
      <c r="P36">
        <f>-C40</f>
        <v>-16531</v>
      </c>
    </row>
    <row r="37" spans="1:16" x14ac:dyDescent="0.25">
      <c r="B37" s="2" t="s">
        <v>159</v>
      </c>
      <c r="C37" s="32"/>
      <c r="D37" s="32"/>
      <c r="K37" s="2" t="s">
        <v>160</v>
      </c>
      <c r="O37" s="4" t="s">
        <v>161</v>
      </c>
      <c r="P37" s="4">
        <f>SUBTOTAL(9,P33:P36)</f>
        <v>89</v>
      </c>
    </row>
    <row r="38" spans="1:16" x14ac:dyDescent="0.25">
      <c r="B38" s="13" t="s">
        <v>162</v>
      </c>
      <c r="C38" s="32"/>
      <c r="D38" s="32"/>
      <c r="L38" s="14">
        <f>SUBTOTAL(9,L33:L37)</f>
        <v>5760</v>
      </c>
      <c r="M38" s="14">
        <f>M33</f>
        <v>8</v>
      </c>
    </row>
    <row r="40" spans="1:16" x14ac:dyDescent="0.25">
      <c r="B40" s="1" t="s">
        <v>163</v>
      </c>
      <c r="C40" s="33">
        <f>C36+C37+C38</f>
        <v>16531</v>
      </c>
      <c r="D40" s="33"/>
      <c r="E40" s="1" t="s">
        <v>164</v>
      </c>
      <c r="K40" s="11" t="s">
        <v>2139</v>
      </c>
      <c r="L40" s="11" t="s">
        <v>146</v>
      </c>
      <c r="M40" s="11" t="s">
        <v>145</v>
      </c>
    </row>
    <row r="41" spans="1:16" x14ac:dyDescent="0.25">
      <c r="K41" t="s">
        <v>150</v>
      </c>
      <c r="L41">
        <f>SUMIFS(G$3:G$28,J$3:J$28,K$40)</f>
        <v>2595</v>
      </c>
      <c r="M41">
        <f>SUMIFS(Q$3:Q$28,J$3:J$28,K$40)-INT(COUNTIFS(J$3:J$28,K$40,M$3:M$28,"*gộp*")/2)</f>
        <v>7</v>
      </c>
    </row>
    <row r="42" spans="1:16" x14ac:dyDescent="0.25">
      <c r="K42" t="s">
        <v>153</v>
      </c>
      <c r="L42">
        <f>SUM(H31:H33)</f>
        <v>-169</v>
      </c>
      <c r="M42">
        <f>SUMIFS(Q$3:Q$28,J$3:J$28,K$40)-INT(COUNTIFS(J$3:J$28,K$40,M$3:M$28,"*gộp*")/2)</f>
        <v>7</v>
      </c>
    </row>
    <row r="43" spans="1:16" x14ac:dyDescent="0.25">
      <c r="K43" t="s">
        <v>155</v>
      </c>
    </row>
    <row r="44" spans="1:16" x14ac:dyDescent="0.25">
      <c r="K44" s="12" t="s">
        <v>157</v>
      </c>
    </row>
    <row r="45" spans="1:16" x14ac:dyDescent="0.25">
      <c r="K45" s="2" t="s">
        <v>160</v>
      </c>
    </row>
    <row r="46" spans="1:16" x14ac:dyDescent="0.25">
      <c r="L46" s="14">
        <f>SUBTOTAL(9,L41:L45)</f>
        <v>2426</v>
      </c>
      <c r="M46" s="14">
        <f>M41</f>
        <v>7</v>
      </c>
    </row>
    <row r="48" spans="1:16" x14ac:dyDescent="0.25">
      <c r="K48" s="11" t="s">
        <v>32</v>
      </c>
      <c r="L48" s="11" t="s">
        <v>146</v>
      </c>
      <c r="M48" s="11" t="s">
        <v>145</v>
      </c>
    </row>
    <row r="49" spans="11:13" x14ac:dyDescent="0.25">
      <c r="K49" t="s">
        <v>150</v>
      </c>
      <c r="L49">
        <f>SUMIFS(G$3:G$28,J$3:J$28,K$48)</f>
        <v>8736</v>
      </c>
      <c r="M49">
        <f>SUMIFS(Q$3:Q$28,J$3:J$28,K$48)-INT(COUNTIFS(J$3:J$28,K$48,M$3:M$28,"*gộp*")/2)</f>
        <v>11</v>
      </c>
    </row>
    <row r="50" spans="11:13" x14ac:dyDescent="0.25">
      <c r="K50" t="s">
        <v>153</v>
      </c>
      <c r="L50">
        <f>-SUMIFS(H$3:H$28,J$3:J$28,K$48)+M50*5</f>
        <v>-250</v>
      </c>
      <c r="M50">
        <f>SUMIFS(Q$3:Q$28,J$3:J$28,K$48)-INT(COUNTIFS(J$3:J$28,K$48,M$3:M$28,"*gộp*")/2)</f>
        <v>11</v>
      </c>
    </row>
    <row r="51" spans="11:13" x14ac:dyDescent="0.25">
      <c r="K51" t="s">
        <v>155</v>
      </c>
      <c r="L51">
        <f>-M51*2</f>
        <v>-52</v>
      </c>
      <c r="M51">
        <f>E36-(COUNTIFS(M$3:M$28,"*gộp*")/2)-COUNTIFS(M$3:M$28,"*đơn trả*")-COUNTIFS(M$3:M$28,"*hàng tỉnh*")</f>
        <v>26</v>
      </c>
    </row>
    <row r="52" spans="11:13" x14ac:dyDescent="0.25">
      <c r="K52" s="12" t="s">
        <v>157</v>
      </c>
    </row>
    <row r="53" spans="11:13" x14ac:dyDescent="0.25">
      <c r="K53" s="2" t="s">
        <v>160</v>
      </c>
    </row>
    <row r="54" spans="11:13" x14ac:dyDescent="0.25">
      <c r="L54" s="14">
        <f>SUBTOTAL(9,L49:L53)</f>
        <v>8434</v>
      </c>
      <c r="M54" s="14">
        <f>M49</f>
        <v>11</v>
      </c>
    </row>
  </sheetData>
  <autoFilter ref="A2:P28" xr:uid="{00000000-0009-0000-0000-000019000000}">
    <sortState xmlns:xlrd2="http://schemas.microsoft.com/office/spreadsheetml/2017/richdata2" ref="A3:P28">
      <sortCondition ref="J2:J28"/>
    </sortState>
  </autoFilter>
  <mergeCells count="8">
    <mergeCell ref="C37:D37"/>
    <mergeCell ref="C38:D38"/>
    <mergeCell ref="C40:D40"/>
    <mergeCell ref="C32:D32"/>
    <mergeCell ref="C33:D33"/>
    <mergeCell ref="C34:D34"/>
    <mergeCell ref="C35:D35"/>
    <mergeCell ref="C36:D36"/>
  </mergeCells>
  <pageMargins left="0.75" right="0.75" top="0.75" bottom="0.5" header="0.5" footer="0.7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R64"/>
  <sheetViews>
    <sheetView zoomScale="90" zoomScaleNormal="90" workbookViewId="0"/>
  </sheetViews>
  <sheetFormatPr defaultRowHeight="15" x14ac:dyDescent="0.25"/>
  <cols>
    <col min="1" max="1" width="12.7109375" customWidth="1"/>
    <col min="2" max="2" width="8.140625" customWidth="1"/>
    <col min="3" max="3" width="34.85546875" customWidth="1"/>
    <col min="4" max="4" width="9.85546875" customWidth="1"/>
    <col min="5" max="5" width="79.140625" customWidth="1"/>
    <col min="6" max="6" width="10.855468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2.5703125" bestFit="1" customWidth="1"/>
    <col min="13" max="13" width="9.42578125" customWidth="1"/>
    <col min="14" max="14" width="9.7109375" customWidth="1"/>
    <col min="15" max="15" width="10.42578125" customWidth="1"/>
    <col min="16" max="16" width="7" bestFit="1" customWidth="1"/>
  </cols>
  <sheetData>
    <row r="2" spans="1:18" x14ac:dyDescent="0.25">
      <c r="A2" s="15" t="s">
        <v>10</v>
      </c>
      <c r="B2" s="15" t="s">
        <v>11</v>
      </c>
      <c r="C2" s="15" t="s">
        <v>12</v>
      </c>
      <c r="D2" s="15" t="s">
        <v>13</v>
      </c>
      <c r="E2" s="15" t="s">
        <v>14</v>
      </c>
      <c r="F2" s="15" t="s">
        <v>15</v>
      </c>
      <c r="G2" s="15" t="s">
        <v>16</v>
      </c>
      <c r="H2" s="15" t="s">
        <v>17</v>
      </c>
      <c r="I2" s="15" t="s">
        <v>18</v>
      </c>
      <c r="J2" s="15" t="s">
        <v>19</v>
      </c>
      <c r="K2" s="15" t="s">
        <v>20</v>
      </c>
      <c r="L2" s="15" t="s">
        <v>21</v>
      </c>
      <c r="M2" s="15" t="s">
        <v>22</v>
      </c>
      <c r="N2" s="15" t="s">
        <v>23</v>
      </c>
      <c r="O2" s="15" t="s">
        <v>24</v>
      </c>
      <c r="P2" s="15" t="s">
        <v>25</v>
      </c>
      <c r="Q2" s="16"/>
    </row>
    <row r="3" spans="1:18" x14ac:dyDescent="0.25">
      <c r="A3" s="16"/>
      <c r="B3" s="16" t="s">
        <v>26</v>
      </c>
      <c r="C3" s="16" t="s">
        <v>1078</v>
      </c>
      <c r="D3" s="16" t="s">
        <v>2194</v>
      </c>
      <c r="E3" s="16" t="s">
        <v>2195</v>
      </c>
      <c r="F3" s="17">
        <v>6</v>
      </c>
      <c r="G3" s="17">
        <v>945</v>
      </c>
      <c r="H3" s="17">
        <v>25</v>
      </c>
      <c r="I3" s="17">
        <f t="shared" ref="I3:I38" si="0">G3-H3</f>
        <v>920</v>
      </c>
      <c r="J3" s="16" t="s">
        <v>2196</v>
      </c>
      <c r="K3" s="16" t="s">
        <v>32</v>
      </c>
      <c r="L3" s="16" t="s">
        <v>2197</v>
      </c>
      <c r="M3" s="16"/>
      <c r="N3" s="16"/>
      <c r="O3" s="16"/>
      <c r="P3" s="16"/>
      <c r="Q3" s="16">
        <v>1</v>
      </c>
    </row>
    <row r="4" spans="1:18" x14ac:dyDescent="0.25">
      <c r="A4" s="16"/>
      <c r="B4" s="16" t="s">
        <v>26</v>
      </c>
      <c r="C4" s="16" t="s">
        <v>2198</v>
      </c>
      <c r="D4" s="16" t="s">
        <v>2199</v>
      </c>
      <c r="E4" s="16" t="s">
        <v>2200</v>
      </c>
      <c r="F4" s="16" t="s">
        <v>40</v>
      </c>
      <c r="G4" s="17">
        <v>925</v>
      </c>
      <c r="H4" s="17">
        <v>35</v>
      </c>
      <c r="I4" s="17">
        <f t="shared" si="0"/>
        <v>890</v>
      </c>
      <c r="J4" s="16" t="s">
        <v>2196</v>
      </c>
      <c r="K4" s="16" t="s">
        <v>32</v>
      </c>
      <c r="L4" s="16" t="s">
        <v>2197</v>
      </c>
      <c r="M4" s="16"/>
      <c r="N4" s="16"/>
      <c r="O4" s="16"/>
      <c r="P4" s="16"/>
      <c r="Q4" s="16">
        <v>1</v>
      </c>
    </row>
    <row r="5" spans="1:18" x14ac:dyDescent="0.25">
      <c r="A5" s="16"/>
      <c r="B5" s="16" t="s">
        <v>26</v>
      </c>
      <c r="C5" s="16" t="s">
        <v>808</v>
      </c>
      <c r="D5" s="16" t="s">
        <v>2201</v>
      </c>
      <c r="E5" s="16" t="s">
        <v>810</v>
      </c>
      <c r="F5" s="17">
        <v>9</v>
      </c>
      <c r="G5" s="17">
        <v>950</v>
      </c>
      <c r="H5" s="17">
        <v>30</v>
      </c>
      <c r="I5" s="17">
        <f t="shared" si="0"/>
        <v>920</v>
      </c>
      <c r="J5" s="16" t="s">
        <v>2196</v>
      </c>
      <c r="K5" s="16" t="s">
        <v>32</v>
      </c>
      <c r="L5" s="16" t="s">
        <v>2197</v>
      </c>
      <c r="M5" s="16"/>
      <c r="N5" s="16"/>
      <c r="O5" s="16"/>
      <c r="P5" s="16"/>
      <c r="Q5" s="16">
        <v>1</v>
      </c>
    </row>
    <row r="6" spans="1:18" x14ac:dyDescent="0.25">
      <c r="A6" s="16"/>
      <c r="B6" s="16" t="s">
        <v>26</v>
      </c>
      <c r="C6" s="16" t="s">
        <v>2202</v>
      </c>
      <c r="D6" s="16" t="s">
        <v>2203</v>
      </c>
      <c r="E6" s="16" t="s">
        <v>2204</v>
      </c>
      <c r="F6" s="17">
        <v>6</v>
      </c>
      <c r="G6" s="17">
        <v>615</v>
      </c>
      <c r="H6" s="17">
        <v>25</v>
      </c>
      <c r="I6" s="17">
        <f t="shared" si="0"/>
        <v>590</v>
      </c>
      <c r="J6" s="16" t="s">
        <v>2196</v>
      </c>
      <c r="K6" s="16" t="s">
        <v>32</v>
      </c>
      <c r="L6" s="16" t="s">
        <v>2197</v>
      </c>
      <c r="M6" s="16"/>
      <c r="N6" s="16"/>
      <c r="O6" s="16"/>
      <c r="P6" s="16"/>
      <c r="Q6" s="16">
        <v>1</v>
      </c>
    </row>
    <row r="7" spans="1:18" x14ac:dyDescent="0.25">
      <c r="A7" s="16"/>
      <c r="B7" s="16" t="s">
        <v>26</v>
      </c>
      <c r="C7" s="16" t="s">
        <v>2205</v>
      </c>
      <c r="D7" s="16" t="s">
        <v>2206</v>
      </c>
      <c r="E7" s="16" t="s">
        <v>2207</v>
      </c>
      <c r="F7" s="16" t="s">
        <v>51</v>
      </c>
      <c r="G7" s="17">
        <v>0</v>
      </c>
      <c r="H7" s="17">
        <v>30</v>
      </c>
      <c r="I7" s="17">
        <f t="shared" si="0"/>
        <v>-30</v>
      </c>
      <c r="J7" s="16" t="s">
        <v>2196</v>
      </c>
      <c r="K7" s="16" t="s">
        <v>32</v>
      </c>
      <c r="L7" s="16" t="s">
        <v>2197</v>
      </c>
      <c r="M7" s="16"/>
      <c r="N7" s="16"/>
      <c r="O7" s="16"/>
      <c r="P7" s="16"/>
      <c r="Q7" s="16">
        <v>1</v>
      </c>
      <c r="R7" s="10">
        <f>H7</f>
        <v>30</v>
      </c>
    </row>
    <row r="8" spans="1:18" x14ac:dyDescent="0.25">
      <c r="A8" s="16"/>
      <c r="B8" s="16" t="s">
        <v>26</v>
      </c>
      <c r="C8" s="16" t="s">
        <v>2208</v>
      </c>
      <c r="D8" s="16" t="s">
        <v>2209</v>
      </c>
      <c r="E8" s="16" t="s">
        <v>2210</v>
      </c>
      <c r="F8" s="16" t="s">
        <v>51</v>
      </c>
      <c r="G8" s="17">
        <v>0</v>
      </c>
      <c r="H8" s="17">
        <v>30</v>
      </c>
      <c r="I8" s="17">
        <f t="shared" si="0"/>
        <v>-30</v>
      </c>
      <c r="J8" s="16" t="s">
        <v>2196</v>
      </c>
      <c r="K8" s="16" t="s">
        <v>32</v>
      </c>
      <c r="L8" s="16" t="s">
        <v>2197</v>
      </c>
      <c r="M8" s="16"/>
      <c r="N8" s="16"/>
      <c r="O8" s="16"/>
      <c r="P8" s="16"/>
      <c r="Q8" s="16">
        <v>1</v>
      </c>
      <c r="R8" s="10">
        <f>H8</f>
        <v>30</v>
      </c>
    </row>
    <row r="9" spans="1:18" x14ac:dyDescent="0.25">
      <c r="A9" s="16"/>
      <c r="B9" s="16" t="s">
        <v>26</v>
      </c>
      <c r="C9" s="16" t="s">
        <v>2211</v>
      </c>
      <c r="D9" s="16" t="s">
        <v>2212</v>
      </c>
      <c r="E9" s="16" t="s">
        <v>2213</v>
      </c>
      <c r="F9" s="16" t="s">
        <v>51</v>
      </c>
      <c r="G9" s="17">
        <v>0</v>
      </c>
      <c r="H9" s="17">
        <v>30</v>
      </c>
      <c r="I9" s="17">
        <f t="shared" si="0"/>
        <v>-30</v>
      </c>
      <c r="J9" s="16" t="s">
        <v>2196</v>
      </c>
      <c r="K9" s="16" t="s">
        <v>32</v>
      </c>
      <c r="L9" s="16" t="s">
        <v>2197</v>
      </c>
      <c r="M9" s="16"/>
      <c r="N9" s="16"/>
      <c r="O9" s="16"/>
      <c r="P9" s="16"/>
      <c r="Q9" s="16">
        <v>1</v>
      </c>
      <c r="R9" s="10">
        <f>H9</f>
        <v>30</v>
      </c>
    </row>
    <row r="10" spans="1:18" x14ac:dyDescent="0.25">
      <c r="A10" s="16"/>
      <c r="B10" s="16" t="s">
        <v>26</v>
      </c>
      <c r="C10" s="16" t="s">
        <v>2214</v>
      </c>
      <c r="D10" s="16" t="s">
        <v>2215</v>
      </c>
      <c r="E10" s="16" t="s">
        <v>2216</v>
      </c>
      <c r="F10" s="17">
        <v>2</v>
      </c>
      <c r="G10" s="17">
        <v>850</v>
      </c>
      <c r="H10" s="17">
        <v>30</v>
      </c>
      <c r="I10" s="17">
        <f t="shared" si="0"/>
        <v>820</v>
      </c>
      <c r="J10" s="16" t="s">
        <v>32</v>
      </c>
      <c r="K10" s="16" t="s">
        <v>32</v>
      </c>
      <c r="L10" s="16" t="s">
        <v>2197</v>
      </c>
      <c r="M10" s="16"/>
      <c r="N10" s="16"/>
      <c r="O10" s="16"/>
      <c r="P10" s="16"/>
      <c r="Q10" s="16">
        <v>1</v>
      </c>
    </row>
    <row r="11" spans="1:18" x14ac:dyDescent="0.25">
      <c r="A11" s="16"/>
      <c r="B11" s="16" t="s">
        <v>26</v>
      </c>
      <c r="C11" s="16" t="s">
        <v>2217</v>
      </c>
      <c r="D11" s="16" t="s">
        <v>2218</v>
      </c>
      <c r="E11" s="16" t="s">
        <v>1301</v>
      </c>
      <c r="F11" s="17">
        <v>12</v>
      </c>
      <c r="G11" s="17">
        <v>0</v>
      </c>
      <c r="H11" s="17">
        <v>30</v>
      </c>
      <c r="I11" s="17">
        <f t="shared" si="0"/>
        <v>-30</v>
      </c>
      <c r="J11" s="16" t="s">
        <v>32</v>
      </c>
      <c r="K11" s="16" t="s">
        <v>32</v>
      </c>
      <c r="L11" s="16" t="s">
        <v>2197</v>
      </c>
      <c r="M11" s="16"/>
      <c r="N11" s="16"/>
      <c r="O11" s="16"/>
      <c r="P11" s="16"/>
      <c r="Q11" s="16">
        <v>1</v>
      </c>
      <c r="R11" s="10">
        <f>H11</f>
        <v>30</v>
      </c>
    </row>
    <row r="12" spans="1:18" s="21" customFormat="1" x14ac:dyDescent="0.25">
      <c r="A12" s="19"/>
      <c r="B12" s="19" t="s">
        <v>26</v>
      </c>
      <c r="C12" s="19" t="s">
        <v>2038</v>
      </c>
      <c r="D12" s="19" t="s">
        <v>2219</v>
      </c>
      <c r="E12" s="19" t="s">
        <v>2220</v>
      </c>
      <c r="F12" s="19" t="s">
        <v>75</v>
      </c>
      <c r="G12" s="20">
        <v>20</v>
      </c>
      <c r="H12" s="20">
        <v>20</v>
      </c>
      <c r="I12" s="20">
        <f t="shared" si="0"/>
        <v>0</v>
      </c>
      <c r="J12" s="19" t="s">
        <v>32</v>
      </c>
      <c r="K12" s="19" t="s">
        <v>32</v>
      </c>
      <c r="L12" s="19" t="s">
        <v>2197</v>
      </c>
      <c r="M12" s="19" t="s">
        <v>68</v>
      </c>
      <c r="N12" s="19"/>
      <c r="O12" s="19"/>
      <c r="P12" s="19"/>
      <c r="Q12" s="19">
        <v>1</v>
      </c>
    </row>
    <row r="13" spans="1:18" x14ac:dyDescent="0.25">
      <c r="A13" s="16"/>
      <c r="B13" s="16" t="s">
        <v>26</v>
      </c>
      <c r="C13" s="16" t="s">
        <v>2221</v>
      </c>
      <c r="D13" s="16" t="s">
        <v>2222</v>
      </c>
      <c r="E13" s="16" t="s">
        <v>2223</v>
      </c>
      <c r="F13" s="16" t="s">
        <v>89</v>
      </c>
      <c r="G13" s="17">
        <v>720</v>
      </c>
      <c r="H13" s="17">
        <v>30</v>
      </c>
      <c r="I13" s="17">
        <f t="shared" si="0"/>
        <v>690</v>
      </c>
      <c r="J13" s="16" t="s">
        <v>32</v>
      </c>
      <c r="K13" s="16" t="s">
        <v>32</v>
      </c>
      <c r="L13" s="16" t="s">
        <v>2197</v>
      </c>
      <c r="M13" s="16"/>
      <c r="N13" s="16"/>
      <c r="O13" s="16"/>
      <c r="P13" s="16"/>
      <c r="Q13" s="16">
        <v>1</v>
      </c>
    </row>
    <row r="14" spans="1:18" x14ac:dyDescent="0.25">
      <c r="A14" s="16"/>
      <c r="B14" s="16" t="s">
        <v>26</v>
      </c>
      <c r="C14" s="16" t="s">
        <v>2224</v>
      </c>
      <c r="D14" s="16" t="s">
        <v>2225</v>
      </c>
      <c r="E14" s="16" t="s">
        <v>2226</v>
      </c>
      <c r="F14" s="16" t="s">
        <v>89</v>
      </c>
      <c r="G14" s="17">
        <v>1010</v>
      </c>
      <c r="H14" s="17">
        <v>30</v>
      </c>
      <c r="I14" s="17">
        <f t="shared" si="0"/>
        <v>980</v>
      </c>
      <c r="J14" s="16" t="s">
        <v>32</v>
      </c>
      <c r="K14" s="16" t="s">
        <v>32</v>
      </c>
      <c r="L14" s="16" t="s">
        <v>2197</v>
      </c>
      <c r="M14" s="16"/>
      <c r="N14" s="16"/>
      <c r="O14" s="16"/>
      <c r="P14" s="16"/>
      <c r="Q14" s="16">
        <v>1</v>
      </c>
    </row>
    <row r="15" spans="1:18" x14ac:dyDescent="0.25">
      <c r="A15" s="16"/>
      <c r="B15" s="16" t="s">
        <v>26</v>
      </c>
      <c r="C15" s="16" t="s">
        <v>2227</v>
      </c>
      <c r="D15" s="16" t="s">
        <v>2228</v>
      </c>
      <c r="E15" s="16" t="s">
        <v>2229</v>
      </c>
      <c r="F15" s="16" t="s">
        <v>75</v>
      </c>
      <c r="G15" s="17">
        <v>800</v>
      </c>
      <c r="H15" s="17">
        <v>20</v>
      </c>
      <c r="I15" s="17">
        <f t="shared" si="0"/>
        <v>780</v>
      </c>
      <c r="J15" s="16" t="s">
        <v>32</v>
      </c>
      <c r="K15" s="16" t="s">
        <v>32</v>
      </c>
      <c r="L15" s="16" t="s">
        <v>2197</v>
      </c>
      <c r="M15" s="16"/>
      <c r="N15" s="16"/>
      <c r="O15" s="16"/>
      <c r="P15" s="16"/>
      <c r="Q15" s="16">
        <v>1</v>
      </c>
    </row>
    <row r="16" spans="1:18" x14ac:dyDescent="0.25">
      <c r="A16" s="16"/>
      <c r="B16" s="16" t="s">
        <v>26</v>
      </c>
      <c r="C16" s="16" t="s">
        <v>2230</v>
      </c>
      <c r="D16" s="16" t="s">
        <v>2231</v>
      </c>
      <c r="E16" s="16" t="s">
        <v>2232</v>
      </c>
      <c r="F16" s="17">
        <v>2</v>
      </c>
      <c r="G16" s="17">
        <v>700</v>
      </c>
      <c r="H16" s="17">
        <v>30</v>
      </c>
      <c r="I16" s="17">
        <f t="shared" si="0"/>
        <v>670</v>
      </c>
      <c r="J16" s="16" t="s">
        <v>32</v>
      </c>
      <c r="K16" s="16" t="s">
        <v>32</v>
      </c>
      <c r="L16" s="16" t="s">
        <v>2197</v>
      </c>
      <c r="M16" s="16"/>
      <c r="N16" s="16"/>
      <c r="O16" s="16"/>
      <c r="P16" s="16"/>
      <c r="Q16" s="16">
        <v>1</v>
      </c>
    </row>
    <row r="17" spans="1:18" x14ac:dyDescent="0.25">
      <c r="A17" s="16"/>
      <c r="B17" s="16" t="s">
        <v>26</v>
      </c>
      <c r="C17" s="16" t="s">
        <v>2233</v>
      </c>
      <c r="D17" s="16" t="s">
        <v>2234</v>
      </c>
      <c r="E17" s="16" t="s">
        <v>2235</v>
      </c>
      <c r="F17" s="17">
        <v>12</v>
      </c>
      <c r="G17" s="17">
        <v>0</v>
      </c>
      <c r="H17" s="17">
        <v>30</v>
      </c>
      <c r="I17" s="17">
        <f t="shared" si="0"/>
        <v>-30</v>
      </c>
      <c r="J17" s="16" t="s">
        <v>32</v>
      </c>
      <c r="K17" s="16" t="s">
        <v>32</v>
      </c>
      <c r="L17" s="16" t="s">
        <v>2197</v>
      </c>
      <c r="M17" s="16"/>
      <c r="N17" s="16"/>
      <c r="O17" s="16"/>
      <c r="P17" s="16"/>
      <c r="Q17" s="16">
        <v>1</v>
      </c>
      <c r="R17" s="10">
        <f>H17</f>
        <v>30</v>
      </c>
    </row>
    <row r="18" spans="1:18" x14ac:dyDescent="0.25">
      <c r="A18" s="16"/>
      <c r="B18" s="16" t="s">
        <v>26</v>
      </c>
      <c r="C18" s="16" t="s">
        <v>2236</v>
      </c>
      <c r="D18" s="16" t="s">
        <v>2237</v>
      </c>
      <c r="E18" s="16" t="s">
        <v>2238</v>
      </c>
      <c r="F18" s="16" t="s">
        <v>75</v>
      </c>
      <c r="G18" s="17">
        <v>870</v>
      </c>
      <c r="H18" s="17">
        <v>20</v>
      </c>
      <c r="I18" s="17">
        <f t="shared" si="0"/>
        <v>850</v>
      </c>
      <c r="J18" s="16" t="s">
        <v>32</v>
      </c>
      <c r="K18" s="16" t="s">
        <v>32</v>
      </c>
      <c r="L18" s="16" t="s">
        <v>2197</v>
      </c>
      <c r="M18" s="16"/>
      <c r="N18" s="16"/>
      <c r="O18" s="16"/>
      <c r="P18" s="16"/>
      <c r="Q18" s="16">
        <v>1</v>
      </c>
    </row>
    <row r="19" spans="1:18" x14ac:dyDescent="0.25">
      <c r="A19" s="16"/>
      <c r="B19" s="16" t="s">
        <v>26</v>
      </c>
      <c r="C19" s="16" t="s">
        <v>1808</v>
      </c>
      <c r="D19" s="16" t="s">
        <v>2239</v>
      </c>
      <c r="E19" s="16" t="s">
        <v>2240</v>
      </c>
      <c r="F19" s="17">
        <v>12</v>
      </c>
      <c r="G19" s="17">
        <v>0</v>
      </c>
      <c r="H19" s="17">
        <v>30</v>
      </c>
      <c r="I19" s="17">
        <f t="shared" si="0"/>
        <v>-30</v>
      </c>
      <c r="J19" s="16" t="s">
        <v>32</v>
      </c>
      <c r="K19" s="16" t="s">
        <v>32</v>
      </c>
      <c r="L19" s="16" t="s">
        <v>2197</v>
      </c>
      <c r="M19" s="16"/>
      <c r="N19" s="16"/>
      <c r="O19" s="16"/>
      <c r="P19" s="16"/>
      <c r="Q19" s="16">
        <v>1</v>
      </c>
      <c r="R19" s="10">
        <f>H19</f>
        <v>30</v>
      </c>
    </row>
    <row r="20" spans="1:18" x14ac:dyDescent="0.25">
      <c r="A20" s="16"/>
      <c r="B20" s="16" t="s">
        <v>26</v>
      </c>
      <c r="C20" s="16" t="s">
        <v>2241</v>
      </c>
      <c r="D20" s="16" t="s">
        <v>2242</v>
      </c>
      <c r="E20" s="16" t="s">
        <v>2243</v>
      </c>
      <c r="F20" s="16" t="s">
        <v>75</v>
      </c>
      <c r="G20" s="17">
        <v>1590</v>
      </c>
      <c r="H20" s="17">
        <v>20</v>
      </c>
      <c r="I20" s="17">
        <f t="shared" si="0"/>
        <v>1570</v>
      </c>
      <c r="J20" s="16" t="s">
        <v>32</v>
      </c>
      <c r="K20" s="16" t="s">
        <v>32</v>
      </c>
      <c r="L20" s="16" t="s">
        <v>2197</v>
      </c>
      <c r="M20" s="16"/>
      <c r="N20" s="16"/>
      <c r="O20" s="16"/>
      <c r="P20" s="16"/>
      <c r="Q20" s="16">
        <v>1</v>
      </c>
    </row>
    <row r="21" spans="1:18" x14ac:dyDescent="0.25">
      <c r="A21" s="16"/>
      <c r="B21" s="16" t="s">
        <v>26</v>
      </c>
      <c r="C21" s="16" t="s">
        <v>2244</v>
      </c>
      <c r="D21" s="16" t="s">
        <v>2245</v>
      </c>
      <c r="E21" s="16" t="s">
        <v>2246</v>
      </c>
      <c r="F21" s="16" t="s">
        <v>75</v>
      </c>
      <c r="G21" s="17">
        <v>910</v>
      </c>
      <c r="H21" s="17">
        <v>20</v>
      </c>
      <c r="I21" s="17">
        <f t="shared" si="0"/>
        <v>890</v>
      </c>
      <c r="J21" s="16" t="s">
        <v>32</v>
      </c>
      <c r="K21" s="16" t="s">
        <v>32</v>
      </c>
      <c r="L21" s="16" t="s">
        <v>2197</v>
      </c>
      <c r="M21" s="16"/>
      <c r="N21" s="16"/>
      <c r="O21" s="16"/>
      <c r="P21" s="16"/>
      <c r="Q21" s="16">
        <v>1</v>
      </c>
    </row>
    <row r="22" spans="1:18" x14ac:dyDescent="0.25">
      <c r="A22" s="16" t="s">
        <v>141</v>
      </c>
      <c r="B22" s="16" t="s">
        <v>26</v>
      </c>
      <c r="C22" s="16" t="s">
        <v>1676</v>
      </c>
      <c r="D22" s="16"/>
      <c r="E22" s="16" t="s">
        <v>2247</v>
      </c>
      <c r="F22" s="16" t="s">
        <v>82</v>
      </c>
      <c r="G22" s="17">
        <v>30</v>
      </c>
      <c r="H22" s="17">
        <v>30</v>
      </c>
      <c r="I22" s="17">
        <f t="shared" si="0"/>
        <v>0</v>
      </c>
      <c r="J22" s="16" t="s">
        <v>32</v>
      </c>
      <c r="K22" s="16" t="s">
        <v>32</v>
      </c>
      <c r="L22" s="16" t="s">
        <v>2197</v>
      </c>
      <c r="M22" s="16"/>
      <c r="N22" s="16"/>
      <c r="O22" s="16"/>
      <c r="P22" s="16"/>
      <c r="Q22" s="16">
        <v>1</v>
      </c>
    </row>
    <row r="23" spans="1:18" x14ac:dyDescent="0.25">
      <c r="A23" s="16" t="s">
        <v>141</v>
      </c>
      <c r="B23" s="16" t="s">
        <v>26</v>
      </c>
      <c r="C23" s="16" t="s">
        <v>204</v>
      </c>
      <c r="D23" s="16"/>
      <c r="E23" s="16" t="s">
        <v>205</v>
      </c>
      <c r="F23" s="16" t="s">
        <v>82</v>
      </c>
      <c r="G23" s="17">
        <v>7070</v>
      </c>
      <c r="H23" s="17">
        <v>50</v>
      </c>
      <c r="I23" s="17">
        <f t="shared" si="0"/>
        <v>7020</v>
      </c>
      <c r="J23" s="16" t="s">
        <v>32</v>
      </c>
      <c r="K23" s="16" t="s">
        <v>32</v>
      </c>
      <c r="L23" s="16" t="s">
        <v>2197</v>
      </c>
      <c r="M23" s="16"/>
      <c r="N23" s="16"/>
      <c r="O23" s="16"/>
      <c r="P23" s="16"/>
      <c r="Q23" s="16">
        <v>1</v>
      </c>
    </row>
    <row r="24" spans="1:18" x14ac:dyDescent="0.25">
      <c r="A24" s="16" t="s">
        <v>141</v>
      </c>
      <c r="B24" s="16" t="s">
        <v>26</v>
      </c>
      <c r="C24" s="16" t="s">
        <v>2248</v>
      </c>
      <c r="D24" s="16"/>
      <c r="E24" s="16" t="s">
        <v>1678</v>
      </c>
      <c r="F24" s="16" t="s">
        <v>82</v>
      </c>
      <c r="G24" s="17">
        <v>35</v>
      </c>
      <c r="H24" s="17">
        <v>35</v>
      </c>
      <c r="I24" s="17">
        <f t="shared" si="0"/>
        <v>0</v>
      </c>
      <c r="J24" s="16" t="s">
        <v>32</v>
      </c>
      <c r="K24" s="16" t="s">
        <v>32</v>
      </c>
      <c r="L24" s="16" t="s">
        <v>2197</v>
      </c>
      <c r="M24" s="16"/>
      <c r="N24" s="16"/>
      <c r="O24" s="16"/>
      <c r="P24" s="16"/>
      <c r="Q24" s="16">
        <v>1</v>
      </c>
    </row>
    <row r="25" spans="1:18" x14ac:dyDescent="0.25">
      <c r="A25" s="16"/>
      <c r="B25" s="16" t="s">
        <v>26</v>
      </c>
      <c r="C25" s="16" t="s">
        <v>240</v>
      </c>
      <c r="D25" s="16" t="s">
        <v>2249</v>
      </c>
      <c r="E25" s="16" t="s">
        <v>242</v>
      </c>
      <c r="F25" s="16" t="s">
        <v>243</v>
      </c>
      <c r="G25" s="17">
        <v>925</v>
      </c>
      <c r="H25" s="17">
        <v>35</v>
      </c>
      <c r="I25" s="17">
        <f t="shared" si="0"/>
        <v>890</v>
      </c>
      <c r="J25" s="16" t="s">
        <v>103</v>
      </c>
      <c r="K25" s="16" t="s">
        <v>32</v>
      </c>
      <c r="L25" s="16" t="s">
        <v>2197</v>
      </c>
      <c r="M25" s="16"/>
      <c r="N25" s="16"/>
      <c r="O25" s="16"/>
      <c r="P25" s="16"/>
      <c r="Q25" s="16">
        <v>1</v>
      </c>
    </row>
    <row r="26" spans="1:18" x14ac:dyDescent="0.25">
      <c r="A26" s="16"/>
      <c r="B26" s="16" t="s">
        <v>26</v>
      </c>
      <c r="C26" s="16" t="s">
        <v>2250</v>
      </c>
      <c r="D26" s="16" t="s">
        <v>2251</v>
      </c>
      <c r="E26" s="16" t="s">
        <v>2252</v>
      </c>
      <c r="F26" s="17">
        <v>10</v>
      </c>
      <c r="G26" s="17">
        <v>905</v>
      </c>
      <c r="H26" s="17">
        <v>25</v>
      </c>
      <c r="I26" s="17">
        <f t="shared" si="0"/>
        <v>880</v>
      </c>
      <c r="J26" s="16" t="s">
        <v>103</v>
      </c>
      <c r="K26" s="16" t="s">
        <v>32</v>
      </c>
      <c r="L26" s="16" t="s">
        <v>2197</v>
      </c>
      <c r="M26" s="16"/>
      <c r="N26" s="16"/>
      <c r="O26" s="16"/>
      <c r="P26" s="16"/>
      <c r="Q26" s="16">
        <v>1</v>
      </c>
    </row>
    <row r="27" spans="1:18" x14ac:dyDescent="0.25">
      <c r="A27" s="16"/>
      <c r="B27" s="16" t="s">
        <v>26</v>
      </c>
      <c r="C27" s="16" t="s">
        <v>2253</v>
      </c>
      <c r="D27" s="16" t="s">
        <v>2254</v>
      </c>
      <c r="E27" s="16" t="s">
        <v>2255</v>
      </c>
      <c r="F27" s="17">
        <v>3</v>
      </c>
      <c r="G27" s="17">
        <v>0</v>
      </c>
      <c r="H27" s="17">
        <v>25</v>
      </c>
      <c r="I27" s="17">
        <f t="shared" si="0"/>
        <v>-25</v>
      </c>
      <c r="J27" s="16" t="s">
        <v>103</v>
      </c>
      <c r="K27" s="16" t="s">
        <v>32</v>
      </c>
      <c r="L27" s="16" t="s">
        <v>2197</v>
      </c>
      <c r="M27" s="16"/>
      <c r="N27" s="16"/>
      <c r="O27" s="16"/>
      <c r="P27" s="16"/>
      <c r="Q27" s="16">
        <v>1</v>
      </c>
      <c r="R27" s="10">
        <f>H27</f>
        <v>25</v>
      </c>
    </row>
    <row r="28" spans="1:18" x14ac:dyDescent="0.25">
      <c r="A28" s="16"/>
      <c r="B28" s="16" t="s">
        <v>26</v>
      </c>
      <c r="C28" s="16" t="s">
        <v>2256</v>
      </c>
      <c r="D28" s="16" t="s">
        <v>2257</v>
      </c>
      <c r="E28" s="16" t="s">
        <v>2258</v>
      </c>
      <c r="F28" s="17">
        <v>7</v>
      </c>
      <c r="G28" s="17">
        <v>900</v>
      </c>
      <c r="H28" s="17">
        <v>30</v>
      </c>
      <c r="I28" s="17">
        <f t="shared" si="0"/>
        <v>870</v>
      </c>
      <c r="J28" s="16" t="s">
        <v>103</v>
      </c>
      <c r="K28" s="16" t="s">
        <v>32</v>
      </c>
      <c r="L28" s="16" t="s">
        <v>2197</v>
      </c>
      <c r="M28" s="16"/>
      <c r="N28" s="16"/>
      <c r="O28" s="16"/>
      <c r="P28" s="16"/>
      <c r="Q28" s="16">
        <v>1</v>
      </c>
    </row>
    <row r="29" spans="1:18" x14ac:dyDescent="0.25">
      <c r="A29" s="16"/>
      <c r="B29" s="16" t="s">
        <v>26</v>
      </c>
      <c r="C29" s="16" t="s">
        <v>2259</v>
      </c>
      <c r="D29" s="16" t="s">
        <v>2260</v>
      </c>
      <c r="E29" s="16" t="s">
        <v>2261</v>
      </c>
      <c r="F29" s="17">
        <v>3</v>
      </c>
      <c r="G29" s="17">
        <v>605</v>
      </c>
      <c r="H29" s="17">
        <v>25</v>
      </c>
      <c r="I29" s="17">
        <f t="shared" si="0"/>
        <v>580</v>
      </c>
      <c r="J29" s="16" t="s">
        <v>103</v>
      </c>
      <c r="K29" s="16" t="s">
        <v>32</v>
      </c>
      <c r="L29" s="16" t="s">
        <v>2197</v>
      </c>
      <c r="M29" s="16"/>
      <c r="N29" s="16"/>
      <c r="O29" s="16"/>
      <c r="P29" s="16"/>
      <c r="Q29" s="16">
        <v>1</v>
      </c>
    </row>
    <row r="30" spans="1:18" x14ac:dyDescent="0.25">
      <c r="A30" s="16"/>
      <c r="B30" s="16" t="s">
        <v>26</v>
      </c>
      <c r="C30" s="16" t="s">
        <v>2262</v>
      </c>
      <c r="D30" s="16" t="s">
        <v>2263</v>
      </c>
      <c r="E30" s="16" t="s">
        <v>2264</v>
      </c>
      <c r="F30" s="17">
        <v>7</v>
      </c>
      <c r="G30" s="17">
        <v>620</v>
      </c>
      <c r="H30" s="17">
        <v>30</v>
      </c>
      <c r="I30" s="17">
        <f t="shared" si="0"/>
        <v>590</v>
      </c>
      <c r="J30" s="16" t="s">
        <v>103</v>
      </c>
      <c r="K30" s="16" t="s">
        <v>32</v>
      </c>
      <c r="L30" s="16" t="s">
        <v>2197</v>
      </c>
      <c r="M30" s="16"/>
      <c r="N30" s="16"/>
      <c r="O30" s="16"/>
      <c r="P30" s="16"/>
      <c r="Q30" s="16">
        <v>1</v>
      </c>
    </row>
    <row r="31" spans="1:18" x14ac:dyDescent="0.25">
      <c r="A31" s="16"/>
      <c r="B31" s="16" t="s">
        <v>26</v>
      </c>
      <c r="C31" s="16" t="s">
        <v>2265</v>
      </c>
      <c r="D31" s="16" t="s">
        <v>2266</v>
      </c>
      <c r="E31" s="16" t="s">
        <v>2267</v>
      </c>
      <c r="F31" s="17">
        <v>8</v>
      </c>
      <c r="G31" s="17">
        <v>1670</v>
      </c>
      <c r="H31" s="17">
        <v>30</v>
      </c>
      <c r="I31" s="17">
        <f t="shared" si="0"/>
        <v>1640</v>
      </c>
      <c r="J31" s="16" t="s">
        <v>103</v>
      </c>
      <c r="K31" s="16" t="s">
        <v>32</v>
      </c>
      <c r="L31" s="16" t="s">
        <v>2197</v>
      </c>
      <c r="M31" s="16"/>
      <c r="N31" s="16"/>
      <c r="O31" s="16"/>
      <c r="P31" s="16"/>
      <c r="Q31" s="16">
        <v>1</v>
      </c>
    </row>
    <row r="32" spans="1:18" x14ac:dyDescent="0.25">
      <c r="A32" s="16"/>
      <c r="B32" s="16" t="s">
        <v>26</v>
      </c>
      <c r="C32" s="16" t="s">
        <v>2268</v>
      </c>
      <c r="D32" s="16" t="s">
        <v>2269</v>
      </c>
      <c r="E32" s="16" t="s">
        <v>2270</v>
      </c>
      <c r="F32" s="17">
        <v>3</v>
      </c>
      <c r="G32" s="17">
        <v>1505</v>
      </c>
      <c r="H32" s="17">
        <v>25</v>
      </c>
      <c r="I32" s="17">
        <f t="shared" si="0"/>
        <v>1480</v>
      </c>
      <c r="J32" s="16" t="s">
        <v>103</v>
      </c>
      <c r="K32" s="16" t="s">
        <v>32</v>
      </c>
      <c r="L32" s="16" t="s">
        <v>2197</v>
      </c>
      <c r="M32" s="16"/>
      <c r="N32" s="16"/>
      <c r="O32" s="16"/>
      <c r="P32" s="16"/>
      <c r="Q32" s="16">
        <v>1</v>
      </c>
    </row>
    <row r="33" spans="1:18" x14ac:dyDescent="0.25">
      <c r="A33" s="16"/>
      <c r="B33" s="16" t="s">
        <v>26</v>
      </c>
      <c r="C33" s="16" t="s">
        <v>777</v>
      </c>
      <c r="D33" s="16" t="s">
        <v>2271</v>
      </c>
      <c r="E33" s="16" t="s">
        <v>2272</v>
      </c>
      <c r="F33" s="16" t="s">
        <v>243</v>
      </c>
      <c r="G33" s="17">
        <v>955</v>
      </c>
      <c r="H33" s="17">
        <v>35</v>
      </c>
      <c r="I33" s="17">
        <f t="shared" si="0"/>
        <v>920</v>
      </c>
      <c r="J33" s="16" t="s">
        <v>103</v>
      </c>
      <c r="K33" s="16" t="s">
        <v>32</v>
      </c>
      <c r="L33" s="16" t="s">
        <v>2197</v>
      </c>
      <c r="M33" s="16"/>
      <c r="N33" s="16"/>
      <c r="O33" s="16"/>
      <c r="P33" s="16"/>
      <c r="Q33" s="16">
        <v>1</v>
      </c>
    </row>
    <row r="34" spans="1:18" x14ac:dyDescent="0.25">
      <c r="A34" s="16"/>
      <c r="B34" s="16" t="s">
        <v>26</v>
      </c>
      <c r="C34" s="16" t="s">
        <v>2273</v>
      </c>
      <c r="D34" s="16" t="s">
        <v>2274</v>
      </c>
      <c r="E34" s="16" t="s">
        <v>2275</v>
      </c>
      <c r="F34" s="17">
        <v>5</v>
      </c>
      <c r="G34" s="17">
        <v>995</v>
      </c>
      <c r="H34" s="17">
        <v>25</v>
      </c>
      <c r="I34" s="17">
        <f t="shared" si="0"/>
        <v>970</v>
      </c>
      <c r="J34" s="16" t="s">
        <v>103</v>
      </c>
      <c r="K34" s="16" t="s">
        <v>32</v>
      </c>
      <c r="L34" s="16" t="s">
        <v>2197</v>
      </c>
      <c r="M34" s="16"/>
      <c r="N34" s="16"/>
      <c r="O34" s="16"/>
      <c r="P34" s="16"/>
      <c r="Q34" s="16">
        <v>1</v>
      </c>
    </row>
    <row r="35" spans="1:18" x14ac:dyDescent="0.25">
      <c r="A35" s="16" t="s">
        <v>141</v>
      </c>
      <c r="B35" s="16" t="s">
        <v>26</v>
      </c>
      <c r="C35" s="16" t="s">
        <v>2276</v>
      </c>
      <c r="D35" s="16"/>
      <c r="E35" s="16" t="s">
        <v>2277</v>
      </c>
      <c r="F35" s="16" t="s">
        <v>93</v>
      </c>
      <c r="G35" s="17">
        <v>0</v>
      </c>
      <c r="H35" s="17">
        <v>30</v>
      </c>
      <c r="I35" s="17">
        <f t="shared" si="0"/>
        <v>-30</v>
      </c>
      <c r="J35" s="16" t="s">
        <v>103</v>
      </c>
      <c r="K35" s="16" t="s">
        <v>32</v>
      </c>
      <c r="L35" s="16" t="s">
        <v>2197</v>
      </c>
      <c r="M35" s="16"/>
      <c r="N35" s="16"/>
      <c r="O35" s="16"/>
      <c r="P35" s="16"/>
      <c r="Q35" s="16">
        <v>1</v>
      </c>
      <c r="R35" s="10">
        <f>H35</f>
        <v>30</v>
      </c>
    </row>
    <row r="36" spans="1:18" x14ac:dyDescent="0.25">
      <c r="A36" s="16" t="s">
        <v>141</v>
      </c>
      <c r="B36" s="16" t="s">
        <v>26</v>
      </c>
      <c r="C36" s="16" t="s">
        <v>945</v>
      </c>
      <c r="D36" s="16"/>
      <c r="E36" s="16" t="s">
        <v>1113</v>
      </c>
      <c r="F36" s="16" t="s">
        <v>93</v>
      </c>
      <c r="G36" s="17">
        <v>0</v>
      </c>
      <c r="H36" s="17">
        <v>30</v>
      </c>
      <c r="I36" s="17">
        <f t="shared" si="0"/>
        <v>-30</v>
      </c>
      <c r="J36" s="16" t="s">
        <v>103</v>
      </c>
      <c r="K36" s="16" t="s">
        <v>32</v>
      </c>
      <c r="L36" s="16" t="s">
        <v>2197</v>
      </c>
      <c r="M36" s="16"/>
      <c r="N36" s="16"/>
      <c r="O36" s="16"/>
      <c r="P36" s="16"/>
      <c r="Q36" s="16">
        <v>1</v>
      </c>
      <c r="R36" s="10">
        <f>H36</f>
        <v>30</v>
      </c>
    </row>
    <row r="37" spans="1:18" x14ac:dyDescent="0.25">
      <c r="A37" s="16" t="s">
        <v>141</v>
      </c>
      <c r="B37" s="16" t="s">
        <v>26</v>
      </c>
      <c r="C37" s="16" t="s">
        <v>606</v>
      </c>
      <c r="D37" s="16"/>
      <c r="E37" s="16" t="s">
        <v>2278</v>
      </c>
      <c r="F37" s="17">
        <v>4</v>
      </c>
      <c r="G37" s="17">
        <v>35</v>
      </c>
      <c r="H37" s="17">
        <v>35</v>
      </c>
      <c r="I37" s="17">
        <f t="shared" si="0"/>
        <v>0</v>
      </c>
      <c r="J37" s="16" t="s">
        <v>103</v>
      </c>
      <c r="K37" s="16" t="s">
        <v>32</v>
      </c>
      <c r="L37" s="16" t="s">
        <v>2197</v>
      </c>
      <c r="M37" s="16"/>
      <c r="N37" s="16"/>
      <c r="O37" s="16"/>
      <c r="P37" s="16"/>
      <c r="Q37" s="16">
        <v>1</v>
      </c>
    </row>
    <row r="38" spans="1:18" s="2" customFormat="1" x14ac:dyDescent="0.25">
      <c r="A38" s="23"/>
      <c r="B38" s="23" t="s">
        <v>26</v>
      </c>
      <c r="C38" s="23" t="s">
        <v>804</v>
      </c>
      <c r="D38" s="23" t="s">
        <v>2279</v>
      </c>
      <c r="E38" s="23" t="s">
        <v>806</v>
      </c>
      <c r="F38" s="23" t="s">
        <v>611</v>
      </c>
      <c r="G38" s="24">
        <v>920</v>
      </c>
      <c r="H38" s="24">
        <v>0</v>
      </c>
      <c r="I38" s="24">
        <f t="shared" si="0"/>
        <v>920</v>
      </c>
      <c r="J38" s="23" t="s">
        <v>269</v>
      </c>
      <c r="K38" s="23" t="s">
        <v>32</v>
      </c>
      <c r="L38" s="23" t="s">
        <v>2197</v>
      </c>
      <c r="M38" s="23" t="s">
        <v>612</v>
      </c>
      <c r="N38" s="23" t="s">
        <v>271</v>
      </c>
      <c r="O38" s="23"/>
      <c r="P38" s="23" t="s">
        <v>272</v>
      </c>
      <c r="Q38" s="23">
        <v>1</v>
      </c>
    </row>
    <row r="40" spans="1:18" x14ac:dyDescent="0.25">
      <c r="D40" s="1">
        <f>COUNTA(D3:D38)</f>
        <v>30</v>
      </c>
      <c r="G40" s="1">
        <f t="shared" ref="G40:Q40" si="1">SUBTOTAL(9,G3:G38)</f>
        <v>28075</v>
      </c>
      <c r="H40" s="1">
        <f t="shared" si="1"/>
        <v>1010</v>
      </c>
      <c r="I40" s="1">
        <f t="shared" si="1"/>
        <v>27065</v>
      </c>
      <c r="J40" s="1">
        <f t="shared" si="1"/>
        <v>0</v>
      </c>
      <c r="K40" s="1">
        <f t="shared" si="1"/>
        <v>0</v>
      </c>
      <c r="L40" s="1">
        <f t="shared" si="1"/>
        <v>0</v>
      </c>
      <c r="M40" s="1">
        <f t="shared" si="1"/>
        <v>0</v>
      </c>
      <c r="N40" s="1">
        <f t="shared" si="1"/>
        <v>0</v>
      </c>
      <c r="O40" s="1">
        <f t="shared" si="1"/>
        <v>0</v>
      </c>
      <c r="P40" s="1">
        <f t="shared" si="1"/>
        <v>0</v>
      </c>
      <c r="Q40" s="1">
        <f t="shared" si="1"/>
        <v>36</v>
      </c>
    </row>
    <row r="41" spans="1:18" x14ac:dyDescent="0.25">
      <c r="H41">
        <f>-2*17</f>
        <v>-34</v>
      </c>
    </row>
    <row r="42" spans="1:18" x14ac:dyDescent="0.25">
      <c r="A42" s="1" t="s">
        <v>26</v>
      </c>
      <c r="C42" s="34" t="s">
        <v>144</v>
      </c>
      <c r="D42" s="34"/>
      <c r="E42" s="4" t="s">
        <v>145</v>
      </c>
      <c r="H42">
        <f>-4*25</f>
        <v>-100</v>
      </c>
      <c r="K42" s="11" t="s">
        <v>32</v>
      </c>
      <c r="L42" s="11" t="s">
        <v>146</v>
      </c>
      <c r="M42" s="11" t="s">
        <v>145</v>
      </c>
      <c r="O42" s="4" t="s">
        <v>147</v>
      </c>
    </row>
    <row r="43" spans="1:18" x14ac:dyDescent="0.25">
      <c r="A43" t="s">
        <v>2197</v>
      </c>
      <c r="B43" s="3" t="s">
        <v>148</v>
      </c>
      <c r="C43" s="35">
        <f>SUMIFS(I$3:I$38,B$3:B$38,A$42,L$3:L$38,A$43)</f>
        <v>27065</v>
      </c>
      <c r="D43" s="35"/>
      <c r="E43" s="3">
        <f>SUMIFS(Q$3:Q$38,B$3:B$38,A$42,L$3:L$38,A$43)</f>
        <v>36</v>
      </c>
      <c r="F43" t="s">
        <v>149</v>
      </c>
      <c r="H43">
        <f>-1*30</f>
        <v>-30</v>
      </c>
      <c r="K43" t="s">
        <v>150</v>
      </c>
      <c r="L43">
        <f>SUMIFS(G$3:G$38,J$3:J$38,K$42)</f>
        <v>14605</v>
      </c>
      <c r="M43">
        <f>SUMIFS(Q$3:Q$38,J$3:J$38,K$42)-INT(COUNTIFS(J$3:J$38,K$42,M$3:M$38,"*gộp*")/2)</f>
        <v>15</v>
      </c>
      <c r="O43" t="s">
        <v>32</v>
      </c>
      <c r="P43">
        <f>L48</f>
        <v>14185</v>
      </c>
    </row>
    <row r="44" spans="1:18" x14ac:dyDescent="0.25">
      <c r="B44" s="2" t="s">
        <v>152</v>
      </c>
      <c r="C44" s="36">
        <v>0</v>
      </c>
      <c r="D44" s="36"/>
      <c r="K44" t="s">
        <v>153</v>
      </c>
      <c r="L44">
        <f>-SUMIFS(H$3:H$38,J$3:J$38,K$42)+M44*5</f>
        <v>-350</v>
      </c>
      <c r="M44">
        <f>SUMIFS(Q$3:Q$38,J$3:J$38,K$42)-INT(COUNTIFS(J$3:J$38,K$42,M$3:M$38,"*gộp*")/2)</f>
        <v>15</v>
      </c>
      <c r="O44" t="s">
        <v>2280</v>
      </c>
      <c r="P44">
        <f>L56</f>
        <v>3271</v>
      </c>
    </row>
    <row r="45" spans="1:18" x14ac:dyDescent="0.25">
      <c r="B45" s="2" t="s">
        <v>154</v>
      </c>
      <c r="C45" s="36">
        <f>-SUMIFS(I$3:I$38,B$3:B$38,A$42,P$3:P$38,"xx",N$3:N$38,"x")</f>
        <v>-920</v>
      </c>
      <c r="D45" s="36"/>
      <c r="E45" s="2">
        <f>SUMIFS(Q$3:Q$38,B$3:B$38,A$42,P$3:P$38,"xx",N$3:N$38,"x")</f>
        <v>1</v>
      </c>
      <c r="K45" t="s">
        <v>155</v>
      </c>
      <c r="L45">
        <f>-M45*2</f>
        <v>-70</v>
      </c>
      <c r="M45">
        <f>E46-(COUNTIFS(M$3:M$38,"*gộp*")/2)-COUNTIFS(M$3:M$38,"*đơn trả*")-COUNTIFS(M$3:M$38,"*hàng tỉnh*")</f>
        <v>35</v>
      </c>
      <c r="O45" t="s">
        <v>103</v>
      </c>
      <c r="P45">
        <f>L64</f>
        <v>8800</v>
      </c>
    </row>
    <row r="46" spans="1:18" x14ac:dyDescent="0.25">
      <c r="B46" s="4" t="s">
        <v>156</v>
      </c>
      <c r="C46" s="34">
        <f>SUBTOTAL(9,C43:C45)</f>
        <v>26145</v>
      </c>
      <c r="D46" s="34"/>
      <c r="E46">
        <f>E43</f>
        <v>36</v>
      </c>
      <c r="K46" s="12" t="s">
        <v>157</v>
      </c>
      <c r="O46" t="s">
        <v>158</v>
      </c>
      <c r="P46">
        <f>-C50</f>
        <v>-26145</v>
      </c>
    </row>
    <row r="47" spans="1:18" x14ac:dyDescent="0.25">
      <c r="B47" s="2" t="s">
        <v>159</v>
      </c>
      <c r="C47" s="32"/>
      <c r="D47" s="32"/>
      <c r="K47" s="2" t="s">
        <v>160</v>
      </c>
      <c r="O47" s="4" t="s">
        <v>161</v>
      </c>
      <c r="P47" s="4">
        <f>SUBTOTAL(9,P43:P46)</f>
        <v>111</v>
      </c>
    </row>
    <row r="48" spans="1:18" x14ac:dyDescent="0.25">
      <c r="B48" s="13" t="s">
        <v>162</v>
      </c>
      <c r="C48" s="32"/>
      <c r="D48" s="32"/>
      <c r="L48" s="14">
        <f>SUBTOTAL(9,L43:L47)</f>
        <v>14185</v>
      </c>
      <c r="M48" s="14">
        <f>M43</f>
        <v>15</v>
      </c>
    </row>
    <row r="50" spans="2:13" x14ac:dyDescent="0.25">
      <c r="B50" s="1" t="s">
        <v>163</v>
      </c>
      <c r="C50" s="33">
        <f>C46+C47+C48</f>
        <v>26145</v>
      </c>
      <c r="D50" s="33"/>
      <c r="E50" s="1" t="s">
        <v>164</v>
      </c>
      <c r="K50" s="11" t="s">
        <v>2196</v>
      </c>
      <c r="L50" s="11" t="s">
        <v>146</v>
      </c>
      <c r="M50" s="11" t="s">
        <v>145</v>
      </c>
    </row>
    <row r="51" spans="2:13" x14ac:dyDescent="0.25">
      <c r="K51" t="s">
        <v>150</v>
      </c>
      <c r="L51">
        <f>SUMIFS(G$3:G$38,J$3:J$38,K$50)</f>
        <v>3435</v>
      </c>
      <c r="M51">
        <f>SUMIFS(Q$3:Q$38,J$3:J$38,K$50)-INT(COUNTIFS(J$3:J$38,K$50,M$3:M$38,"*gộp*")/2)</f>
        <v>7</v>
      </c>
    </row>
    <row r="52" spans="2:13" x14ac:dyDescent="0.25">
      <c r="K52" t="s">
        <v>153</v>
      </c>
      <c r="L52">
        <f>SUM(H41:H43)</f>
        <v>-164</v>
      </c>
      <c r="M52">
        <f>SUMIFS(Q$3:Q$38,J$3:J$38,K$50)-INT(COUNTIFS(J$3:J$38,K$50,M$3:M$38,"*gộp*")/2)</f>
        <v>7</v>
      </c>
    </row>
    <row r="53" spans="2:13" x14ac:dyDescent="0.25">
      <c r="K53" t="s">
        <v>155</v>
      </c>
    </row>
    <row r="54" spans="2:13" x14ac:dyDescent="0.25">
      <c r="K54" s="12" t="s">
        <v>157</v>
      </c>
    </row>
    <row r="55" spans="2:13" x14ac:dyDescent="0.25">
      <c r="K55" s="2" t="s">
        <v>160</v>
      </c>
    </row>
    <row r="56" spans="2:13" x14ac:dyDescent="0.25">
      <c r="L56" s="14">
        <f>SUBTOTAL(9,L51:L55)</f>
        <v>3271</v>
      </c>
      <c r="M56" s="14">
        <f>M51</f>
        <v>7</v>
      </c>
    </row>
    <row r="58" spans="2:13" x14ac:dyDescent="0.25">
      <c r="K58" s="11" t="s">
        <v>103</v>
      </c>
      <c r="L58" s="11" t="s">
        <v>146</v>
      </c>
      <c r="M58" s="11" t="s">
        <v>145</v>
      </c>
    </row>
    <row r="59" spans="2:13" x14ac:dyDescent="0.25">
      <c r="K59" t="s">
        <v>150</v>
      </c>
      <c r="L59">
        <f>SUMIFS(G$3:G$38,J$3:J$38,K$58)</f>
        <v>9115</v>
      </c>
      <c r="M59">
        <f>SUMIFS(Q$3:Q$38,J$3:J$38,K$58)-INT(COUNTIFS(J$3:J$38,K$58,M$3:M$38,"*gộp*")/2)</f>
        <v>13</v>
      </c>
    </row>
    <row r="60" spans="2:13" x14ac:dyDescent="0.25">
      <c r="K60" t="s">
        <v>153</v>
      </c>
      <c r="L60">
        <f>-SUMIFS(H$3:H$38,J$3:J$38,K$58)+M60*5</f>
        <v>-315</v>
      </c>
      <c r="M60">
        <f>SUMIFS(Q$3:Q$38,J$3:J$38,K$58)-INT(COUNTIFS(J$3:J$38,K$58,M$3:M$38,"*gộp*")/2)</f>
        <v>13</v>
      </c>
    </row>
    <row r="61" spans="2:13" x14ac:dyDescent="0.25">
      <c r="K61" t="s">
        <v>155</v>
      </c>
    </row>
    <row r="62" spans="2:13" x14ac:dyDescent="0.25">
      <c r="K62" s="12" t="s">
        <v>157</v>
      </c>
    </row>
    <row r="63" spans="2:13" x14ac:dyDescent="0.25">
      <c r="K63" s="2" t="s">
        <v>160</v>
      </c>
    </row>
    <row r="64" spans="2:13" x14ac:dyDescent="0.25">
      <c r="L64" s="14">
        <f>SUBTOTAL(9,L59:L63)</f>
        <v>8800</v>
      </c>
      <c r="M64" s="14">
        <f>M59</f>
        <v>13</v>
      </c>
    </row>
  </sheetData>
  <autoFilter ref="A2:P38" xr:uid="{00000000-0009-0000-0000-00001A000000}">
    <sortState xmlns:xlrd2="http://schemas.microsoft.com/office/spreadsheetml/2017/richdata2" ref="A3:P38">
      <sortCondition ref="J2:J38"/>
    </sortState>
  </autoFilter>
  <mergeCells count="8">
    <mergeCell ref="C47:D47"/>
    <mergeCell ref="C48:D48"/>
    <mergeCell ref="C50:D50"/>
    <mergeCell ref="C42:D42"/>
    <mergeCell ref="C43:D43"/>
    <mergeCell ref="C44:D44"/>
    <mergeCell ref="C45:D45"/>
    <mergeCell ref="C46:D46"/>
  </mergeCells>
  <pageMargins left="0.75" right="0.75" top="0.75" bottom="0.5" header="0.5" footer="0.7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F46F2-2FC6-4440-B0CD-17EAD6030FA0}">
  <dimension ref="A2:R57"/>
  <sheetViews>
    <sheetView zoomScale="90" zoomScaleNormal="90" workbookViewId="0"/>
  </sheetViews>
  <sheetFormatPr defaultRowHeight="15" x14ac:dyDescent="0.25"/>
  <cols>
    <col min="1" max="1" width="12.7109375" customWidth="1"/>
    <col min="2" max="2" width="8.140625" customWidth="1"/>
    <col min="3" max="3" width="34.85546875" customWidth="1"/>
    <col min="4" max="4" width="9.85546875" customWidth="1"/>
    <col min="5" max="5" width="79.140625" customWidth="1"/>
    <col min="6" max="6" width="10.855468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2.5703125" bestFit="1" customWidth="1"/>
    <col min="13" max="13" width="14" bestFit="1" customWidth="1"/>
    <col min="14" max="14" width="9.7109375" customWidth="1"/>
    <col min="15" max="15" width="10.42578125" customWidth="1"/>
    <col min="16" max="16" width="7" bestFit="1" customWidth="1"/>
  </cols>
  <sheetData>
    <row r="2" spans="1:18" x14ac:dyDescent="0.25">
      <c r="A2" s="15" t="s">
        <v>10</v>
      </c>
      <c r="B2" s="15" t="s">
        <v>11</v>
      </c>
      <c r="C2" s="15" t="s">
        <v>12</v>
      </c>
      <c r="D2" s="15" t="s">
        <v>13</v>
      </c>
      <c r="E2" s="15" t="s">
        <v>14</v>
      </c>
      <c r="F2" s="15" t="s">
        <v>15</v>
      </c>
      <c r="G2" s="15" t="s">
        <v>16</v>
      </c>
      <c r="H2" s="15" t="s">
        <v>17</v>
      </c>
      <c r="I2" s="15" t="s">
        <v>18</v>
      </c>
      <c r="J2" s="15" t="s">
        <v>19</v>
      </c>
      <c r="K2" s="15" t="s">
        <v>20</v>
      </c>
      <c r="L2" s="15" t="s">
        <v>21</v>
      </c>
      <c r="M2" s="15" t="s">
        <v>22</v>
      </c>
      <c r="N2" s="15" t="s">
        <v>23</v>
      </c>
      <c r="O2" s="15" t="s">
        <v>24</v>
      </c>
      <c r="P2" s="15" t="s">
        <v>25</v>
      </c>
      <c r="Q2" s="16"/>
    </row>
    <row r="3" spans="1:18" s="28" customFormat="1" x14ac:dyDescent="0.25">
      <c r="A3" s="29" t="s">
        <v>141</v>
      </c>
      <c r="B3" s="29" t="s">
        <v>26</v>
      </c>
      <c r="C3" s="29" t="s">
        <v>2288</v>
      </c>
      <c r="D3" s="29"/>
      <c r="E3" s="29" t="s">
        <v>1230</v>
      </c>
      <c r="F3" s="30" t="s">
        <v>51</v>
      </c>
      <c r="G3" s="29">
        <v>0</v>
      </c>
      <c r="H3" s="29">
        <v>35</v>
      </c>
      <c r="I3" s="29">
        <f t="shared" ref="I3:I31" si="0">G3-H3</f>
        <v>-35</v>
      </c>
      <c r="J3" s="29" t="s">
        <v>2281</v>
      </c>
      <c r="K3" s="29" t="s">
        <v>32</v>
      </c>
      <c r="L3" s="29" t="s">
        <v>2282</v>
      </c>
      <c r="M3" s="29"/>
      <c r="N3" s="29"/>
      <c r="O3" s="29"/>
      <c r="P3" s="29"/>
      <c r="Q3" s="29">
        <v>1</v>
      </c>
      <c r="R3" s="28">
        <f>H3</f>
        <v>35</v>
      </c>
    </row>
    <row r="4" spans="1:18" s="28" customFormat="1" x14ac:dyDescent="0.25">
      <c r="A4" s="29"/>
      <c r="B4" s="29" t="s">
        <v>26</v>
      </c>
      <c r="C4" s="29" t="s">
        <v>2301</v>
      </c>
      <c r="D4" s="29" t="s">
        <v>2302</v>
      </c>
      <c r="E4" s="29" t="s">
        <v>2303</v>
      </c>
      <c r="F4" s="30" t="s">
        <v>51</v>
      </c>
      <c r="G4" s="29">
        <v>0</v>
      </c>
      <c r="H4" s="29">
        <v>30</v>
      </c>
      <c r="I4" s="29">
        <f t="shared" si="0"/>
        <v>-30</v>
      </c>
      <c r="J4" s="29" t="s">
        <v>2281</v>
      </c>
      <c r="K4" s="29" t="s">
        <v>32</v>
      </c>
      <c r="L4" s="29" t="s">
        <v>2282</v>
      </c>
      <c r="M4" s="29"/>
      <c r="N4" s="29"/>
      <c r="O4" s="29"/>
      <c r="P4" s="29"/>
      <c r="Q4" s="29">
        <v>1</v>
      </c>
      <c r="R4" s="28">
        <f>H4</f>
        <v>30</v>
      </c>
    </row>
    <row r="5" spans="1:18" s="28" customFormat="1" x14ac:dyDescent="0.25">
      <c r="A5" s="29"/>
      <c r="B5" s="29" t="s">
        <v>26</v>
      </c>
      <c r="C5" s="29" t="s">
        <v>2304</v>
      </c>
      <c r="D5" s="29" t="s">
        <v>2305</v>
      </c>
      <c r="E5" s="29" t="s">
        <v>2306</v>
      </c>
      <c r="F5" s="30" t="s">
        <v>2307</v>
      </c>
      <c r="G5" s="29">
        <v>860</v>
      </c>
      <c r="H5" s="29">
        <v>30</v>
      </c>
      <c r="I5" s="29">
        <f t="shared" si="0"/>
        <v>830</v>
      </c>
      <c r="J5" s="29" t="s">
        <v>2281</v>
      </c>
      <c r="K5" s="29" t="s">
        <v>32</v>
      </c>
      <c r="L5" s="29" t="s">
        <v>2282</v>
      </c>
      <c r="M5" s="29"/>
      <c r="N5" s="29"/>
      <c r="O5" s="29"/>
      <c r="P5" s="29"/>
      <c r="Q5" s="29">
        <v>1</v>
      </c>
    </row>
    <row r="6" spans="1:18" s="28" customFormat="1" x14ac:dyDescent="0.25">
      <c r="A6" s="29"/>
      <c r="B6" s="29" t="s">
        <v>26</v>
      </c>
      <c r="C6" s="29" t="s">
        <v>2335</v>
      </c>
      <c r="D6" s="29" t="s">
        <v>2336</v>
      </c>
      <c r="E6" s="29" t="s">
        <v>2337</v>
      </c>
      <c r="F6" s="30" t="s">
        <v>2307</v>
      </c>
      <c r="G6" s="29">
        <v>860</v>
      </c>
      <c r="H6" s="29">
        <v>30</v>
      </c>
      <c r="I6" s="29">
        <f t="shared" si="0"/>
        <v>830</v>
      </c>
      <c r="J6" s="29" t="s">
        <v>2281</v>
      </c>
      <c r="K6" s="29" t="s">
        <v>32</v>
      </c>
      <c r="L6" s="29" t="s">
        <v>2282</v>
      </c>
      <c r="M6" s="29"/>
      <c r="N6" s="29"/>
      <c r="O6" s="29"/>
      <c r="P6" s="29"/>
      <c r="Q6" s="29">
        <v>1</v>
      </c>
    </row>
    <row r="7" spans="1:18" s="28" customFormat="1" x14ac:dyDescent="0.25">
      <c r="A7" s="29"/>
      <c r="B7" s="29" t="s">
        <v>26</v>
      </c>
      <c r="C7" s="29" t="s">
        <v>2342</v>
      </c>
      <c r="D7" s="29" t="s">
        <v>2343</v>
      </c>
      <c r="E7" s="29" t="s">
        <v>2344</v>
      </c>
      <c r="F7" s="30" t="s">
        <v>51</v>
      </c>
      <c r="G7" s="29">
        <v>760</v>
      </c>
      <c r="H7" s="29">
        <v>30</v>
      </c>
      <c r="I7" s="29">
        <f t="shared" si="0"/>
        <v>730</v>
      </c>
      <c r="J7" s="29" t="s">
        <v>2281</v>
      </c>
      <c r="K7" s="29" t="s">
        <v>32</v>
      </c>
      <c r="L7" s="29" t="s">
        <v>2282</v>
      </c>
      <c r="M7" s="29"/>
      <c r="N7" s="29"/>
      <c r="O7" s="29"/>
      <c r="P7" s="29"/>
      <c r="Q7" s="29">
        <v>1</v>
      </c>
    </row>
    <row r="8" spans="1:18" s="28" customFormat="1" x14ac:dyDescent="0.25">
      <c r="A8" s="29"/>
      <c r="B8" s="29" t="s">
        <v>26</v>
      </c>
      <c r="C8" s="29" t="s">
        <v>283</v>
      </c>
      <c r="D8" s="29" t="s">
        <v>2357</v>
      </c>
      <c r="E8" s="29" t="s">
        <v>285</v>
      </c>
      <c r="F8" s="30" t="s">
        <v>30</v>
      </c>
      <c r="G8" s="29">
        <v>2080</v>
      </c>
      <c r="H8" s="29">
        <v>30</v>
      </c>
      <c r="I8" s="29">
        <f t="shared" si="0"/>
        <v>2050</v>
      </c>
      <c r="J8" s="29" t="s">
        <v>2281</v>
      </c>
      <c r="K8" s="29" t="s">
        <v>32</v>
      </c>
      <c r="L8" s="29" t="s">
        <v>2282</v>
      </c>
      <c r="M8" s="18" t="s">
        <v>55</v>
      </c>
      <c r="N8" s="29"/>
      <c r="O8" s="29"/>
      <c r="P8" s="29"/>
      <c r="Q8" s="29">
        <v>1</v>
      </c>
      <c r="R8" s="28">
        <f>H8</f>
        <v>30</v>
      </c>
    </row>
    <row r="9" spans="1:18" s="28" customFormat="1" x14ac:dyDescent="0.25">
      <c r="A9" s="29" t="s">
        <v>141</v>
      </c>
      <c r="B9" s="29" t="s">
        <v>26</v>
      </c>
      <c r="C9" s="29" t="s">
        <v>1897</v>
      </c>
      <c r="D9" s="29"/>
      <c r="E9" s="29" t="s">
        <v>422</v>
      </c>
      <c r="F9" s="30" t="s">
        <v>82</v>
      </c>
      <c r="G9" s="29">
        <v>30</v>
      </c>
      <c r="H9" s="29">
        <v>30</v>
      </c>
      <c r="I9" s="29">
        <f t="shared" si="0"/>
        <v>0</v>
      </c>
      <c r="J9" s="29" t="s">
        <v>32</v>
      </c>
      <c r="K9" s="29" t="s">
        <v>32</v>
      </c>
      <c r="L9" s="29" t="s">
        <v>2282</v>
      </c>
      <c r="M9" s="29"/>
      <c r="N9" s="29"/>
      <c r="O9" s="29"/>
      <c r="P9" s="29"/>
      <c r="Q9" s="29">
        <v>1</v>
      </c>
    </row>
    <row r="10" spans="1:18" s="28" customFormat="1" x14ac:dyDescent="0.25">
      <c r="A10" s="29" t="s">
        <v>141</v>
      </c>
      <c r="B10" s="29" t="s">
        <v>26</v>
      </c>
      <c r="C10" s="29" t="s">
        <v>2289</v>
      </c>
      <c r="D10" s="29"/>
      <c r="E10" s="29" t="s">
        <v>2290</v>
      </c>
      <c r="F10" s="30" t="s">
        <v>75</v>
      </c>
      <c r="G10" s="29">
        <v>0</v>
      </c>
      <c r="H10" s="29">
        <v>30</v>
      </c>
      <c r="I10" s="29">
        <f t="shared" si="0"/>
        <v>-30</v>
      </c>
      <c r="J10" s="29" t="s">
        <v>32</v>
      </c>
      <c r="K10" s="29" t="s">
        <v>32</v>
      </c>
      <c r="L10" s="29" t="s">
        <v>2282</v>
      </c>
      <c r="M10" s="29"/>
      <c r="N10" s="29"/>
      <c r="O10" s="29"/>
      <c r="P10" s="29"/>
      <c r="Q10" s="29">
        <v>1</v>
      </c>
      <c r="R10" s="28">
        <f>H10</f>
        <v>30</v>
      </c>
    </row>
    <row r="11" spans="1:18" s="28" customFormat="1" x14ac:dyDescent="0.25">
      <c r="A11" s="29"/>
      <c r="B11" s="29" t="s">
        <v>26</v>
      </c>
      <c r="C11" s="29" t="s">
        <v>2295</v>
      </c>
      <c r="D11" s="29" t="s">
        <v>2296</v>
      </c>
      <c r="E11" s="29" t="s">
        <v>2297</v>
      </c>
      <c r="F11" s="30" t="s">
        <v>75</v>
      </c>
      <c r="G11" s="29">
        <v>510</v>
      </c>
      <c r="H11" s="29">
        <v>20</v>
      </c>
      <c r="I11" s="29">
        <f t="shared" si="0"/>
        <v>490</v>
      </c>
      <c r="J11" s="29" t="s">
        <v>32</v>
      </c>
      <c r="K11" s="29" t="s">
        <v>32</v>
      </c>
      <c r="L11" s="29" t="s">
        <v>2282</v>
      </c>
      <c r="M11" s="29"/>
      <c r="N11" s="29"/>
      <c r="O11" s="29"/>
      <c r="P11" s="29"/>
      <c r="Q11" s="29">
        <v>1</v>
      </c>
    </row>
    <row r="12" spans="1:18" s="28" customFormat="1" x14ac:dyDescent="0.25">
      <c r="A12" s="29"/>
      <c r="B12" s="29" t="s">
        <v>26</v>
      </c>
      <c r="C12" s="29" t="s">
        <v>2298</v>
      </c>
      <c r="D12" s="29" t="s">
        <v>2299</v>
      </c>
      <c r="E12" s="29" t="s">
        <v>2300</v>
      </c>
      <c r="F12" s="30" t="s">
        <v>89</v>
      </c>
      <c r="G12" s="29">
        <v>0</v>
      </c>
      <c r="H12" s="29">
        <v>30</v>
      </c>
      <c r="I12" s="29">
        <f t="shared" si="0"/>
        <v>-30</v>
      </c>
      <c r="J12" s="29" t="s">
        <v>32</v>
      </c>
      <c r="K12" s="29" t="s">
        <v>32</v>
      </c>
      <c r="L12" s="29" t="s">
        <v>2282</v>
      </c>
      <c r="M12" s="29"/>
      <c r="N12" s="29"/>
      <c r="O12" s="29"/>
      <c r="P12" s="29"/>
      <c r="Q12" s="29">
        <v>1</v>
      </c>
      <c r="R12" s="28">
        <f>H12</f>
        <v>30</v>
      </c>
    </row>
    <row r="13" spans="1:18" s="28" customFormat="1" x14ac:dyDescent="0.25">
      <c r="A13" s="29"/>
      <c r="B13" s="29" t="s">
        <v>26</v>
      </c>
      <c r="C13" s="29" t="s">
        <v>2308</v>
      </c>
      <c r="D13" s="29" t="s">
        <v>2309</v>
      </c>
      <c r="E13" s="29" t="s">
        <v>2310</v>
      </c>
      <c r="F13" s="30" t="s">
        <v>75</v>
      </c>
      <c r="G13" s="29">
        <v>1790</v>
      </c>
      <c r="H13" s="29">
        <v>20</v>
      </c>
      <c r="I13" s="29">
        <f t="shared" si="0"/>
        <v>1770</v>
      </c>
      <c r="J13" s="29" t="s">
        <v>32</v>
      </c>
      <c r="K13" s="29" t="s">
        <v>32</v>
      </c>
      <c r="L13" s="29" t="s">
        <v>2282</v>
      </c>
      <c r="M13" s="29"/>
      <c r="N13" s="29"/>
      <c r="O13" s="29"/>
      <c r="P13" s="29"/>
      <c r="Q13" s="29">
        <v>1</v>
      </c>
    </row>
    <row r="14" spans="1:18" s="28" customFormat="1" x14ac:dyDescent="0.25">
      <c r="A14" s="29"/>
      <c r="B14" s="29" t="s">
        <v>26</v>
      </c>
      <c r="C14" s="29" t="s">
        <v>2311</v>
      </c>
      <c r="D14" s="29" t="s">
        <v>2312</v>
      </c>
      <c r="E14" s="29" t="s">
        <v>2313</v>
      </c>
      <c r="F14" s="30" t="s">
        <v>75</v>
      </c>
      <c r="G14" s="29">
        <v>850</v>
      </c>
      <c r="H14" s="29">
        <v>20</v>
      </c>
      <c r="I14" s="29">
        <f t="shared" si="0"/>
        <v>830</v>
      </c>
      <c r="J14" s="29" t="s">
        <v>32</v>
      </c>
      <c r="K14" s="29" t="s">
        <v>32</v>
      </c>
      <c r="L14" s="29" t="s">
        <v>2282</v>
      </c>
      <c r="M14" s="29"/>
      <c r="N14" s="29"/>
      <c r="O14" s="29"/>
      <c r="P14" s="29"/>
      <c r="Q14" s="29">
        <v>1</v>
      </c>
    </row>
    <row r="15" spans="1:18" s="28" customFormat="1" x14ac:dyDescent="0.25">
      <c r="A15" s="29"/>
      <c r="B15" s="29" t="s">
        <v>26</v>
      </c>
      <c r="C15" s="29" t="s">
        <v>2314</v>
      </c>
      <c r="D15" s="29" t="s">
        <v>2315</v>
      </c>
      <c r="E15" s="29" t="s">
        <v>2316</v>
      </c>
      <c r="F15" s="30" t="s">
        <v>82</v>
      </c>
      <c r="G15" s="29">
        <v>0</v>
      </c>
      <c r="H15" s="29">
        <v>25</v>
      </c>
      <c r="I15" s="29">
        <f t="shared" si="0"/>
        <v>-25</v>
      </c>
      <c r="J15" s="29" t="s">
        <v>32</v>
      </c>
      <c r="K15" s="29" t="s">
        <v>32</v>
      </c>
      <c r="L15" s="29" t="s">
        <v>2282</v>
      </c>
      <c r="M15" s="29"/>
      <c r="N15" s="29"/>
      <c r="O15" s="29"/>
      <c r="P15" s="29"/>
      <c r="Q15" s="29">
        <v>1</v>
      </c>
      <c r="R15" s="28">
        <f>H15</f>
        <v>25</v>
      </c>
    </row>
    <row r="16" spans="1:18" s="28" customFormat="1" x14ac:dyDescent="0.25">
      <c r="A16" s="29"/>
      <c r="B16" s="29" t="s">
        <v>26</v>
      </c>
      <c r="C16" s="29" t="s">
        <v>2320</v>
      </c>
      <c r="D16" s="29" t="s">
        <v>2321</v>
      </c>
      <c r="E16" s="29" t="s">
        <v>2322</v>
      </c>
      <c r="F16" s="30" t="s">
        <v>2323</v>
      </c>
      <c r="G16" s="29">
        <v>950</v>
      </c>
      <c r="H16" s="29">
        <v>30</v>
      </c>
      <c r="I16" s="29">
        <f t="shared" si="0"/>
        <v>920</v>
      </c>
      <c r="J16" s="29" t="s">
        <v>32</v>
      </c>
      <c r="K16" s="29" t="s">
        <v>32</v>
      </c>
      <c r="L16" s="29" t="s">
        <v>2282</v>
      </c>
      <c r="M16" s="29"/>
      <c r="N16" s="29"/>
      <c r="O16" s="29"/>
      <c r="P16" s="29"/>
      <c r="Q16" s="29">
        <v>1</v>
      </c>
    </row>
    <row r="17" spans="1:18" s="28" customFormat="1" x14ac:dyDescent="0.25">
      <c r="A17" s="29"/>
      <c r="B17" s="29" t="s">
        <v>26</v>
      </c>
      <c r="C17" s="29" t="s">
        <v>97</v>
      </c>
      <c r="D17" s="29" t="s">
        <v>2324</v>
      </c>
      <c r="E17" s="29" t="s">
        <v>99</v>
      </c>
      <c r="F17" s="30" t="s">
        <v>2325</v>
      </c>
      <c r="G17" s="29">
        <v>520</v>
      </c>
      <c r="H17" s="29">
        <v>30</v>
      </c>
      <c r="I17" s="29">
        <f t="shared" si="0"/>
        <v>490</v>
      </c>
      <c r="J17" s="29" t="s">
        <v>32</v>
      </c>
      <c r="K17" s="29" t="s">
        <v>32</v>
      </c>
      <c r="L17" s="29" t="s">
        <v>2282</v>
      </c>
      <c r="M17" s="29"/>
      <c r="N17" s="29"/>
      <c r="O17" s="29"/>
      <c r="P17" s="29"/>
      <c r="Q17" s="29">
        <v>1</v>
      </c>
    </row>
    <row r="18" spans="1:18" s="28" customFormat="1" x14ac:dyDescent="0.25">
      <c r="A18" s="29"/>
      <c r="B18" s="29" t="s">
        <v>26</v>
      </c>
      <c r="C18" s="29" t="s">
        <v>2333</v>
      </c>
      <c r="D18" s="29" t="s">
        <v>2334</v>
      </c>
      <c r="E18" s="29" t="s">
        <v>317</v>
      </c>
      <c r="F18" s="30" t="s">
        <v>2323</v>
      </c>
      <c r="G18" s="29">
        <v>0</v>
      </c>
      <c r="H18" s="29">
        <v>30</v>
      </c>
      <c r="I18" s="29">
        <f t="shared" si="0"/>
        <v>-30</v>
      </c>
      <c r="J18" s="29" t="s">
        <v>32</v>
      </c>
      <c r="K18" s="29" t="s">
        <v>32</v>
      </c>
      <c r="L18" s="29" t="s">
        <v>2282</v>
      </c>
      <c r="M18" s="29"/>
      <c r="N18" s="29"/>
      <c r="O18" s="29"/>
      <c r="P18" s="29"/>
      <c r="Q18" s="29">
        <v>1</v>
      </c>
      <c r="R18" s="28">
        <f>H18</f>
        <v>30</v>
      </c>
    </row>
    <row r="19" spans="1:18" s="28" customFormat="1" x14ac:dyDescent="0.25">
      <c r="A19" s="29"/>
      <c r="B19" s="29" t="s">
        <v>26</v>
      </c>
      <c r="C19" s="29" t="s">
        <v>1426</v>
      </c>
      <c r="D19" s="29" t="s">
        <v>2345</v>
      </c>
      <c r="E19" s="29" t="s">
        <v>2346</v>
      </c>
      <c r="F19" s="30" t="s">
        <v>2347</v>
      </c>
      <c r="G19" s="29">
        <v>890</v>
      </c>
      <c r="H19" s="29">
        <v>30</v>
      </c>
      <c r="I19" s="29">
        <f t="shared" si="0"/>
        <v>860</v>
      </c>
      <c r="J19" s="29" t="s">
        <v>32</v>
      </c>
      <c r="K19" s="29" t="s">
        <v>32</v>
      </c>
      <c r="L19" s="29" t="s">
        <v>2282</v>
      </c>
      <c r="M19" s="29"/>
      <c r="N19" s="29"/>
      <c r="O19" s="29"/>
      <c r="P19" s="29"/>
      <c r="Q19" s="29">
        <v>1</v>
      </c>
    </row>
    <row r="20" spans="1:18" s="28" customFormat="1" x14ac:dyDescent="0.25">
      <c r="A20" s="29"/>
      <c r="B20" s="29" t="s">
        <v>26</v>
      </c>
      <c r="C20" s="29" t="s">
        <v>2348</v>
      </c>
      <c r="D20" s="29" t="s">
        <v>2349</v>
      </c>
      <c r="E20" s="29" t="s">
        <v>2350</v>
      </c>
      <c r="F20" s="30" t="s">
        <v>82</v>
      </c>
      <c r="G20" s="29">
        <v>665</v>
      </c>
      <c r="H20" s="29">
        <v>25</v>
      </c>
      <c r="I20" s="29">
        <f t="shared" si="0"/>
        <v>640</v>
      </c>
      <c r="J20" s="29" t="s">
        <v>32</v>
      </c>
      <c r="K20" s="29" t="s">
        <v>32</v>
      </c>
      <c r="L20" s="29" t="s">
        <v>2282</v>
      </c>
      <c r="M20" s="29"/>
      <c r="N20" s="29"/>
      <c r="O20" s="29"/>
      <c r="P20" s="29"/>
      <c r="Q20" s="29">
        <v>1</v>
      </c>
    </row>
    <row r="21" spans="1:18" s="28" customFormat="1" x14ac:dyDescent="0.25">
      <c r="A21" s="29" t="s">
        <v>141</v>
      </c>
      <c r="B21" s="29" t="s">
        <v>26</v>
      </c>
      <c r="C21" s="29" t="s">
        <v>2284</v>
      </c>
      <c r="D21" s="29"/>
      <c r="E21" s="29" t="s">
        <v>2285</v>
      </c>
      <c r="F21" s="30" t="s">
        <v>243</v>
      </c>
      <c r="G21" s="29">
        <v>0</v>
      </c>
      <c r="H21" s="29">
        <v>40</v>
      </c>
      <c r="I21" s="29">
        <f t="shared" si="0"/>
        <v>-40</v>
      </c>
      <c r="J21" s="29" t="s">
        <v>103</v>
      </c>
      <c r="K21" s="29" t="s">
        <v>32</v>
      </c>
      <c r="L21" s="29" t="s">
        <v>2282</v>
      </c>
      <c r="M21" s="29"/>
      <c r="N21" s="29"/>
      <c r="O21" s="29"/>
      <c r="P21" s="29"/>
      <c r="Q21" s="29">
        <v>1</v>
      </c>
      <c r="R21" s="28">
        <f t="shared" ref="R21:R22" si="1">H21</f>
        <v>40</v>
      </c>
    </row>
    <row r="22" spans="1:18" s="28" customFormat="1" x14ac:dyDescent="0.25">
      <c r="A22" s="29" t="s">
        <v>141</v>
      </c>
      <c r="B22" s="29" t="s">
        <v>26</v>
      </c>
      <c r="C22" s="29" t="s">
        <v>604</v>
      </c>
      <c r="D22" s="29"/>
      <c r="E22" s="29" t="s">
        <v>605</v>
      </c>
      <c r="F22" s="30" t="s">
        <v>93</v>
      </c>
      <c r="G22" s="29">
        <v>0</v>
      </c>
      <c r="H22" s="29">
        <v>30</v>
      </c>
      <c r="I22" s="29">
        <f t="shared" si="0"/>
        <v>-30</v>
      </c>
      <c r="J22" s="29" t="s">
        <v>103</v>
      </c>
      <c r="K22" s="29" t="s">
        <v>32</v>
      </c>
      <c r="L22" s="29" t="s">
        <v>2282</v>
      </c>
      <c r="M22" s="29"/>
      <c r="N22" s="29"/>
      <c r="O22" s="29"/>
      <c r="P22" s="29"/>
      <c r="Q22" s="29">
        <v>1</v>
      </c>
      <c r="R22" s="28">
        <f t="shared" si="1"/>
        <v>30</v>
      </c>
    </row>
    <row r="23" spans="1:18" s="28" customFormat="1" x14ac:dyDescent="0.25">
      <c r="A23" s="29" t="s">
        <v>141</v>
      </c>
      <c r="B23" s="29" t="s">
        <v>26</v>
      </c>
      <c r="C23" s="29" t="s">
        <v>2286</v>
      </c>
      <c r="D23" s="29"/>
      <c r="E23" s="29" t="s">
        <v>2287</v>
      </c>
      <c r="F23" s="30" t="s">
        <v>93</v>
      </c>
      <c r="G23" s="29">
        <v>1350</v>
      </c>
      <c r="H23" s="29">
        <v>30</v>
      </c>
      <c r="I23" s="29">
        <f t="shared" si="0"/>
        <v>1320</v>
      </c>
      <c r="J23" s="29" t="s">
        <v>103</v>
      </c>
      <c r="K23" s="29" t="s">
        <v>32</v>
      </c>
      <c r="L23" s="29" t="s">
        <v>2282</v>
      </c>
      <c r="M23" s="29"/>
      <c r="N23" s="29"/>
      <c r="O23" s="29"/>
      <c r="P23" s="29"/>
      <c r="Q23" s="29">
        <v>1</v>
      </c>
    </row>
    <row r="24" spans="1:18" s="28" customFormat="1" x14ac:dyDescent="0.25">
      <c r="A24" s="29"/>
      <c r="B24" s="29" t="s">
        <v>26</v>
      </c>
      <c r="C24" s="29" t="s">
        <v>2291</v>
      </c>
      <c r="D24" s="29" t="s">
        <v>2292</v>
      </c>
      <c r="E24" s="29" t="s">
        <v>2293</v>
      </c>
      <c r="F24" s="30" t="s">
        <v>2294</v>
      </c>
      <c r="G24" s="29">
        <v>935</v>
      </c>
      <c r="H24" s="29">
        <v>25</v>
      </c>
      <c r="I24" s="29">
        <f t="shared" si="0"/>
        <v>910</v>
      </c>
      <c r="J24" s="29" t="s">
        <v>103</v>
      </c>
      <c r="K24" s="29" t="s">
        <v>32</v>
      </c>
      <c r="L24" s="29" t="s">
        <v>2282</v>
      </c>
      <c r="M24" s="29"/>
      <c r="N24" s="29"/>
      <c r="O24" s="29"/>
      <c r="P24" s="29"/>
      <c r="Q24" s="29">
        <v>1</v>
      </c>
    </row>
    <row r="25" spans="1:18" s="28" customFormat="1" x14ac:dyDescent="0.25">
      <c r="A25" s="29"/>
      <c r="B25" s="29" t="s">
        <v>26</v>
      </c>
      <c r="C25" s="29" t="s">
        <v>2317</v>
      </c>
      <c r="D25" s="29" t="s">
        <v>2318</v>
      </c>
      <c r="E25" s="29" t="s">
        <v>2319</v>
      </c>
      <c r="F25" s="30" t="s">
        <v>2294</v>
      </c>
      <c r="G25" s="29">
        <v>375</v>
      </c>
      <c r="H25" s="29">
        <v>25</v>
      </c>
      <c r="I25" s="29">
        <f t="shared" si="0"/>
        <v>350</v>
      </c>
      <c r="J25" s="29" t="s">
        <v>103</v>
      </c>
      <c r="K25" s="29" t="s">
        <v>32</v>
      </c>
      <c r="L25" s="29" t="s">
        <v>2282</v>
      </c>
      <c r="M25" s="29"/>
      <c r="N25" s="29"/>
      <c r="O25" s="29"/>
      <c r="P25" s="29"/>
      <c r="Q25" s="29">
        <v>1</v>
      </c>
    </row>
    <row r="26" spans="1:18" s="28" customFormat="1" x14ac:dyDescent="0.25">
      <c r="A26" s="29"/>
      <c r="B26" s="29" t="s">
        <v>26</v>
      </c>
      <c r="C26" s="29" t="s">
        <v>2326</v>
      </c>
      <c r="D26" s="29" t="s">
        <v>2327</v>
      </c>
      <c r="E26" s="29" t="s">
        <v>2328</v>
      </c>
      <c r="F26" s="30" t="s">
        <v>2329</v>
      </c>
      <c r="G26" s="29">
        <v>0</v>
      </c>
      <c r="H26" s="29">
        <v>25</v>
      </c>
      <c r="I26" s="29">
        <f t="shared" si="0"/>
        <v>-25</v>
      </c>
      <c r="J26" s="29" t="s">
        <v>103</v>
      </c>
      <c r="K26" s="29" t="s">
        <v>32</v>
      </c>
      <c r="L26" s="29" t="s">
        <v>2282</v>
      </c>
      <c r="M26" s="29"/>
      <c r="N26" s="29"/>
      <c r="O26" s="29"/>
      <c r="P26" s="29"/>
      <c r="Q26" s="29">
        <v>1</v>
      </c>
      <c r="R26" s="28">
        <f>H26</f>
        <v>25</v>
      </c>
    </row>
    <row r="27" spans="1:18" s="28" customFormat="1" x14ac:dyDescent="0.25">
      <c r="A27" s="29"/>
      <c r="B27" s="29" t="s">
        <v>26</v>
      </c>
      <c r="C27" s="29" t="s">
        <v>2330</v>
      </c>
      <c r="D27" s="29" t="s">
        <v>2331</v>
      </c>
      <c r="E27" s="29" t="s">
        <v>2332</v>
      </c>
      <c r="F27" s="30" t="s">
        <v>2294</v>
      </c>
      <c r="G27" s="29">
        <v>705</v>
      </c>
      <c r="H27" s="29">
        <v>25</v>
      </c>
      <c r="I27" s="29">
        <f t="shared" si="0"/>
        <v>680</v>
      </c>
      <c r="J27" s="29" t="s">
        <v>103</v>
      </c>
      <c r="K27" s="29" t="s">
        <v>32</v>
      </c>
      <c r="L27" s="29" t="s">
        <v>2282</v>
      </c>
      <c r="M27" s="29"/>
      <c r="N27" s="29"/>
      <c r="O27" s="29"/>
      <c r="P27" s="29"/>
      <c r="Q27" s="29">
        <v>1</v>
      </c>
    </row>
    <row r="28" spans="1:18" s="28" customFormat="1" x14ac:dyDescent="0.25">
      <c r="A28" s="29"/>
      <c r="B28" s="29" t="s">
        <v>26</v>
      </c>
      <c r="C28" s="29" t="s">
        <v>2338</v>
      </c>
      <c r="D28" s="29" t="s">
        <v>2339</v>
      </c>
      <c r="E28" s="29" t="s">
        <v>2340</v>
      </c>
      <c r="F28" s="30" t="s">
        <v>2341</v>
      </c>
      <c r="G28" s="29">
        <v>950</v>
      </c>
      <c r="H28" s="29">
        <v>30</v>
      </c>
      <c r="I28" s="29">
        <f t="shared" si="0"/>
        <v>920</v>
      </c>
      <c r="J28" s="29" t="s">
        <v>103</v>
      </c>
      <c r="K28" s="29" t="s">
        <v>32</v>
      </c>
      <c r="L28" s="29" t="s">
        <v>2282</v>
      </c>
      <c r="M28" s="29"/>
      <c r="N28" s="29"/>
      <c r="O28" s="29"/>
      <c r="P28" s="29"/>
      <c r="Q28" s="29">
        <v>1</v>
      </c>
    </row>
    <row r="29" spans="1:18" s="28" customFormat="1" x14ac:dyDescent="0.25">
      <c r="A29" s="29"/>
      <c r="B29" s="29" t="s">
        <v>26</v>
      </c>
      <c r="C29" s="29" t="s">
        <v>2351</v>
      </c>
      <c r="D29" s="29" t="s">
        <v>2352</v>
      </c>
      <c r="E29" s="29" t="s">
        <v>2353</v>
      </c>
      <c r="F29" s="30" t="s">
        <v>2294</v>
      </c>
      <c r="G29" s="29">
        <v>815</v>
      </c>
      <c r="H29" s="29">
        <v>25</v>
      </c>
      <c r="I29" s="29">
        <f t="shared" si="0"/>
        <v>790</v>
      </c>
      <c r="J29" s="29" t="s">
        <v>103</v>
      </c>
      <c r="K29" s="29" t="s">
        <v>32</v>
      </c>
      <c r="L29" s="29" t="s">
        <v>2282</v>
      </c>
      <c r="M29" s="29"/>
      <c r="N29" s="29"/>
      <c r="O29" s="29"/>
      <c r="P29" s="29"/>
      <c r="Q29" s="29">
        <v>1</v>
      </c>
    </row>
    <row r="30" spans="1:18" s="28" customFormat="1" x14ac:dyDescent="0.25">
      <c r="A30" s="29"/>
      <c r="B30" s="29" t="s">
        <v>26</v>
      </c>
      <c r="C30" s="29" t="s">
        <v>2354</v>
      </c>
      <c r="D30" s="29" t="s">
        <v>2355</v>
      </c>
      <c r="E30" s="29" t="s">
        <v>2356</v>
      </c>
      <c r="F30" s="30" t="s">
        <v>2294</v>
      </c>
      <c r="G30" s="29">
        <v>915</v>
      </c>
      <c r="H30" s="29">
        <v>25</v>
      </c>
      <c r="I30" s="29">
        <f t="shared" si="0"/>
        <v>890</v>
      </c>
      <c r="J30" s="29" t="s">
        <v>103</v>
      </c>
      <c r="K30" s="29" t="s">
        <v>32</v>
      </c>
      <c r="L30" s="29" t="s">
        <v>2282</v>
      </c>
      <c r="M30" s="29"/>
      <c r="N30" s="29"/>
      <c r="O30" s="29"/>
      <c r="P30" s="29"/>
      <c r="Q30" s="29">
        <v>1</v>
      </c>
    </row>
    <row r="31" spans="1:18" s="21" customFormat="1" x14ac:dyDescent="0.25">
      <c r="A31" s="19"/>
      <c r="B31" s="19" t="s">
        <v>26</v>
      </c>
      <c r="C31" s="19" t="s">
        <v>2256</v>
      </c>
      <c r="D31" s="19" t="s">
        <v>2358</v>
      </c>
      <c r="E31" s="19" t="s">
        <v>2359</v>
      </c>
      <c r="F31" s="31" t="s">
        <v>2341</v>
      </c>
      <c r="G31" s="19">
        <v>30</v>
      </c>
      <c r="H31" s="19">
        <v>30</v>
      </c>
      <c r="I31" s="19">
        <f t="shared" si="0"/>
        <v>0</v>
      </c>
      <c r="J31" s="19" t="s">
        <v>103</v>
      </c>
      <c r="K31" s="19" t="s">
        <v>32</v>
      </c>
      <c r="L31" s="19" t="s">
        <v>2282</v>
      </c>
      <c r="M31" s="19" t="s">
        <v>68</v>
      </c>
      <c r="N31" s="19"/>
      <c r="O31" s="19"/>
      <c r="P31" s="19"/>
      <c r="Q31" s="19">
        <v>1</v>
      </c>
    </row>
    <row r="33" spans="1:17" x14ac:dyDescent="0.25">
      <c r="D33" s="1">
        <f>COUNTA(D3:D31)</f>
        <v>23</v>
      </c>
      <c r="G33" s="1">
        <f t="shared" ref="G33:Q33" si="2">SUBTOTAL(9,G3:G31)</f>
        <v>16840</v>
      </c>
      <c r="H33" s="1">
        <f t="shared" si="2"/>
        <v>815</v>
      </c>
      <c r="I33" s="1">
        <f t="shared" si="2"/>
        <v>16025</v>
      </c>
      <c r="J33" s="1">
        <f t="shared" si="2"/>
        <v>0</v>
      </c>
      <c r="K33" s="1">
        <f t="shared" si="2"/>
        <v>0</v>
      </c>
      <c r="L33" s="1">
        <f t="shared" si="2"/>
        <v>0</v>
      </c>
      <c r="M33" s="1">
        <f t="shared" si="2"/>
        <v>0</v>
      </c>
      <c r="N33" s="1">
        <f t="shared" si="2"/>
        <v>0</v>
      </c>
      <c r="O33" s="1">
        <f t="shared" si="2"/>
        <v>0</v>
      </c>
      <c r="P33" s="1">
        <f t="shared" si="2"/>
        <v>0</v>
      </c>
      <c r="Q33" s="1">
        <f t="shared" si="2"/>
        <v>29</v>
      </c>
    </row>
    <row r="34" spans="1:17" x14ac:dyDescent="0.25">
      <c r="H34">
        <f>-2*17</f>
        <v>-34</v>
      </c>
    </row>
    <row r="35" spans="1:17" x14ac:dyDescent="0.25">
      <c r="A35" s="1" t="s">
        <v>26</v>
      </c>
      <c r="C35" s="34" t="s">
        <v>144</v>
      </c>
      <c r="D35" s="34"/>
      <c r="E35" s="4" t="s">
        <v>145</v>
      </c>
      <c r="H35">
        <f>-4*25</f>
        <v>-100</v>
      </c>
      <c r="K35" s="11" t="s">
        <v>32</v>
      </c>
      <c r="L35" s="11" t="s">
        <v>146</v>
      </c>
      <c r="M35" s="11" t="s">
        <v>145</v>
      </c>
      <c r="O35" s="4" t="s">
        <v>147</v>
      </c>
    </row>
    <row r="36" spans="1:17" x14ac:dyDescent="0.25">
      <c r="A36" t="s">
        <v>2282</v>
      </c>
      <c r="B36" s="3" t="s">
        <v>148</v>
      </c>
      <c r="C36" s="35">
        <f>SUMIFS(I$3:I$31,B$3:B$31,A$35,L$3:L$31,A$36)</f>
        <v>16025</v>
      </c>
      <c r="D36" s="35"/>
      <c r="E36" s="3">
        <f>SUMIFS(Q$3:Q$31,B$3:B$31,A$35,L$3:L$31,A$36)</f>
        <v>29</v>
      </c>
      <c r="F36" t="s">
        <v>149</v>
      </c>
      <c r="H36">
        <f>-1*30</f>
        <v>-30</v>
      </c>
      <c r="K36" t="s">
        <v>150</v>
      </c>
      <c r="L36">
        <f>SUMIFS(G$3:G$31,J$3:J$31,K$35)</f>
        <v>6205</v>
      </c>
      <c r="M36">
        <f>SUMIFS(Q$3:Q$31,J$3:J$31,K$35)-INT(COUNTIFS(J$3:J$31,K$35,M$3:M$31,"*gộp*")/2)</f>
        <v>12</v>
      </c>
      <c r="O36" t="s">
        <v>32</v>
      </c>
      <c r="P36">
        <f>L41</f>
        <v>5887</v>
      </c>
    </row>
    <row r="37" spans="1:17" x14ac:dyDescent="0.25">
      <c r="B37" s="2" t="s">
        <v>152</v>
      </c>
      <c r="C37" s="36">
        <v>0</v>
      </c>
      <c r="D37" s="36"/>
      <c r="K37" t="s">
        <v>153</v>
      </c>
      <c r="L37">
        <f>-SUMIFS(H$3:H$31,J$3:J$31,K$35)+M37*5</f>
        <v>-260</v>
      </c>
      <c r="M37">
        <f>SUMIFS(Q$3:Q$31,J$3:J$31,K$35)-INT(COUNTIFS(J$3:J$31,K$35,M$3:M$31,"*gộp*")/2)</f>
        <v>12</v>
      </c>
      <c r="O37" t="s">
        <v>2283</v>
      </c>
      <c r="P37">
        <f>L49</f>
        <v>4396</v>
      </c>
    </row>
    <row r="38" spans="1:17" x14ac:dyDescent="0.25">
      <c r="B38" s="2" t="s">
        <v>154</v>
      </c>
      <c r="C38" s="36">
        <f>-SUMIFS(I$3:I$31,B$3:B$31,A$35,P$3:P$31,"xx",N$3:N$31,"x")</f>
        <v>0</v>
      </c>
      <c r="D38" s="36"/>
      <c r="E38" s="2">
        <f>SUMIFS(Q$3:Q$31,B$3:B$31,A$35,P$3:P$31,"xx",N$3:N$31,"x")</f>
        <v>0</v>
      </c>
      <c r="K38" t="s">
        <v>155</v>
      </c>
      <c r="L38">
        <f>-M38*2</f>
        <v>-58</v>
      </c>
      <c r="M38">
        <f>E39-(COUNTIFS(M$3:M$31,"*gộp*")/2)-COUNTIFS(M$3:M$31,"*đơn trả*")-COUNTIFS(M$3:M$31,"*hàng tỉnh*")</f>
        <v>29</v>
      </c>
      <c r="O38" t="s">
        <v>103</v>
      </c>
      <c r="P38">
        <f>L57</f>
        <v>5820</v>
      </c>
    </row>
    <row r="39" spans="1:17" x14ac:dyDescent="0.25">
      <c r="B39" s="4" t="s">
        <v>156</v>
      </c>
      <c r="C39" s="34">
        <f>SUBTOTAL(9,C36:C38)</f>
        <v>16025</v>
      </c>
      <c r="D39" s="34"/>
      <c r="E39">
        <f>E36</f>
        <v>29</v>
      </c>
      <c r="K39" s="12" t="s">
        <v>157</v>
      </c>
      <c r="O39" t="s">
        <v>158</v>
      </c>
      <c r="P39">
        <f>-C43</f>
        <v>-16025</v>
      </c>
    </row>
    <row r="40" spans="1:17" x14ac:dyDescent="0.25">
      <c r="B40" s="2" t="s">
        <v>159</v>
      </c>
      <c r="C40" s="32"/>
      <c r="D40" s="32"/>
      <c r="K40" s="2" t="s">
        <v>160</v>
      </c>
      <c r="O40" s="4" t="s">
        <v>161</v>
      </c>
      <c r="P40" s="4">
        <f>SUBTOTAL(9,P36:P39)</f>
        <v>78</v>
      </c>
    </row>
    <row r="41" spans="1:17" x14ac:dyDescent="0.25">
      <c r="B41" s="13" t="s">
        <v>162</v>
      </c>
      <c r="C41" s="32"/>
      <c r="D41" s="32"/>
      <c r="L41" s="14">
        <f>SUBTOTAL(9,L36:L40)</f>
        <v>5887</v>
      </c>
      <c r="M41" s="14">
        <f>M36</f>
        <v>12</v>
      </c>
    </row>
    <row r="43" spans="1:17" x14ac:dyDescent="0.25">
      <c r="B43" s="1" t="s">
        <v>163</v>
      </c>
      <c r="C43" s="33">
        <f>C39+C40+C41</f>
        <v>16025</v>
      </c>
      <c r="D43" s="33"/>
      <c r="E43" s="1" t="s">
        <v>164</v>
      </c>
      <c r="K43" s="11" t="s">
        <v>2281</v>
      </c>
      <c r="L43" s="11" t="s">
        <v>146</v>
      </c>
      <c r="M43" s="11" t="s">
        <v>145</v>
      </c>
    </row>
    <row r="44" spans="1:17" x14ac:dyDescent="0.25">
      <c r="K44" t="s">
        <v>150</v>
      </c>
      <c r="L44">
        <f>SUMIFS(G$3:G$31,J$3:J$31,K$43)</f>
        <v>4560</v>
      </c>
      <c r="M44">
        <f>SUMIFS(Q$3:Q$31,J$3:J$31,K$43)-INT(COUNTIFS(J$3:J$31,K$43,M$3:M$31,"*gộp*")/2)</f>
        <v>6</v>
      </c>
    </row>
    <row r="45" spans="1:17" x14ac:dyDescent="0.25">
      <c r="K45" t="s">
        <v>153</v>
      </c>
      <c r="L45">
        <f>SUM(H34:H36)</f>
        <v>-164</v>
      </c>
      <c r="M45">
        <f>SUMIFS(Q$3:Q$31,J$3:J$31,K$43)-INT(COUNTIFS(J$3:J$31,K$43,M$3:M$31,"*gộp*")/2)</f>
        <v>6</v>
      </c>
    </row>
    <row r="46" spans="1:17" x14ac:dyDescent="0.25">
      <c r="K46" t="s">
        <v>155</v>
      </c>
    </row>
    <row r="47" spans="1:17" x14ac:dyDescent="0.25">
      <c r="K47" s="12" t="s">
        <v>157</v>
      </c>
    </row>
    <row r="48" spans="1:17" x14ac:dyDescent="0.25">
      <c r="K48" s="2" t="s">
        <v>160</v>
      </c>
    </row>
    <row r="49" spans="11:13" x14ac:dyDescent="0.25">
      <c r="L49" s="14">
        <f>SUBTOTAL(9,L44:L48)</f>
        <v>4396</v>
      </c>
      <c r="M49" s="14">
        <f>M44</f>
        <v>6</v>
      </c>
    </row>
    <row r="51" spans="11:13" x14ac:dyDescent="0.25">
      <c r="K51" s="11" t="s">
        <v>103</v>
      </c>
      <c r="L51" s="11" t="s">
        <v>146</v>
      </c>
      <c r="M51" s="11" t="s">
        <v>145</v>
      </c>
    </row>
    <row r="52" spans="11:13" x14ac:dyDescent="0.25">
      <c r="K52" t="s">
        <v>150</v>
      </c>
      <c r="L52">
        <f>SUMIFS(G$3:G$31,J$3:J$31,K$51)</f>
        <v>6075</v>
      </c>
      <c r="M52">
        <f>SUMIFS(Q$3:Q$31,J$3:J$31,K$51)-INT(COUNTIFS(J$3:J$31,K$51,M$3:M$31,"*gộp*")/2)</f>
        <v>11</v>
      </c>
    </row>
    <row r="53" spans="11:13" x14ac:dyDescent="0.25">
      <c r="K53" t="s">
        <v>153</v>
      </c>
      <c r="L53">
        <f>-SUMIFS(H$3:H$31,J$3:J$31,K$51)+M53*5</f>
        <v>-255</v>
      </c>
      <c r="M53">
        <f>SUMIFS(Q$3:Q$31,J$3:J$31,K$51)-INT(COUNTIFS(J$3:J$31,K$51,M$3:M$31,"*gộp*")/2)</f>
        <v>11</v>
      </c>
    </row>
    <row r="54" spans="11:13" x14ac:dyDescent="0.25">
      <c r="K54" t="s">
        <v>155</v>
      </c>
    </row>
    <row r="55" spans="11:13" x14ac:dyDescent="0.25">
      <c r="K55" s="12" t="s">
        <v>157</v>
      </c>
    </row>
    <row r="56" spans="11:13" x14ac:dyDescent="0.25">
      <c r="K56" s="2" t="s">
        <v>160</v>
      </c>
    </row>
    <row r="57" spans="11:13" x14ac:dyDescent="0.25">
      <c r="L57" s="14">
        <f>SUBTOTAL(9,L52:L56)</f>
        <v>5820</v>
      </c>
      <c r="M57" s="14">
        <f>M52</f>
        <v>11</v>
      </c>
    </row>
  </sheetData>
  <autoFilter ref="A2:P31" xr:uid="{00000000-0009-0000-0000-00001A000000}">
    <sortState xmlns:xlrd2="http://schemas.microsoft.com/office/spreadsheetml/2017/richdata2" ref="A3:P31">
      <sortCondition ref="J2:J31"/>
    </sortState>
  </autoFilter>
  <mergeCells count="8">
    <mergeCell ref="C41:D41"/>
    <mergeCell ref="C43:D43"/>
    <mergeCell ref="C35:D35"/>
    <mergeCell ref="C36:D36"/>
    <mergeCell ref="C37:D37"/>
    <mergeCell ref="C38:D38"/>
    <mergeCell ref="C39:D39"/>
    <mergeCell ref="C40:D40"/>
  </mergeCells>
  <pageMargins left="0.75" right="0.75" top="0.75" bottom="0.5" header="0.5" footer="0.7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Sheet1</vt:lpstr>
      <vt:lpstr>01-07</vt:lpstr>
      <vt:lpstr>02-07</vt:lpstr>
      <vt:lpstr>03-07</vt:lpstr>
      <vt:lpstr>04-07</vt:lpstr>
      <vt:lpstr>06-07</vt:lpstr>
      <vt:lpstr>07-07</vt:lpstr>
      <vt:lpstr>08-07</vt:lpstr>
      <vt:lpstr>09-07</vt:lpstr>
      <vt:lpstr>10-07</vt:lpstr>
      <vt:lpstr>11-07</vt:lpstr>
      <vt:lpstr>13-07</vt:lpstr>
      <vt:lpstr>14-07</vt:lpstr>
      <vt:lpstr>15-07</vt:lpstr>
      <vt:lpstr>16-07</vt:lpstr>
      <vt:lpstr>17-07</vt:lpstr>
      <vt:lpstr>18-07</vt:lpstr>
      <vt:lpstr>20-07</vt:lpstr>
      <vt:lpstr>21-07</vt:lpstr>
      <vt:lpstr>22-07</vt:lpstr>
      <vt:lpstr>23-07</vt:lpstr>
      <vt:lpstr>24-07</vt:lpstr>
      <vt:lpstr>25-07</vt:lpstr>
      <vt:lpstr>27-07</vt:lpstr>
      <vt:lpstr>28-07</vt:lpstr>
      <vt:lpstr>29-07</vt:lpstr>
      <vt:lpstr>30-07</vt:lpstr>
      <vt:lpstr>31-07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Sei Pham</cp:lastModifiedBy>
  <dcterms:created xsi:type="dcterms:W3CDTF">2026-04-01T06:13:00Z</dcterms:created>
  <dcterms:modified xsi:type="dcterms:W3CDTF">2026-08-01T12:38:23Z</dcterms:modified>
</cp:coreProperties>
</file>