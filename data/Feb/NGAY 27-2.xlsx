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reelance\TextInputter\data\Feb\"/>
    </mc:Choice>
  </mc:AlternateContent>
  <xr:revisionPtr revIDLastSave="0" documentId="13_ncr:1_{8F476C6A-B571-4450-9F06-07850C93EC43}" xr6:coauthVersionLast="47" xr6:coauthVersionMax="47" xr10:uidLastSave="{00000000-0000-0000-0000-000000000000}"/>
  <bookViews>
    <workbookView xWindow="-120" yWindow="-120" windowWidth="29040" windowHeight="15720" xr2:uid="{115CC5AF-4F94-4501-8A58-4FA554B14D45}"/>
  </bookViews>
  <sheets>
    <sheet name="Sheet1" sheetId="1" r:id="rId1"/>
  </sheets>
  <definedNames>
    <definedName name="_xlnm._FilterDatabase" localSheetId="0" hidden="1">Sheet1!$A$2:$Q$38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C45" i="1"/>
  <c r="E44" i="1"/>
  <c r="C44" i="1"/>
  <c r="E43" i="1"/>
  <c r="E46" i="1" s="1"/>
  <c r="C43" i="1"/>
  <c r="I40" i="1"/>
  <c r="K40" i="1"/>
  <c r="N43" i="1" s="1"/>
  <c r="N48" i="1" s="1"/>
  <c r="L40" i="1"/>
  <c r="M40" i="1"/>
  <c r="N40" i="1"/>
  <c r="O40" i="1"/>
  <c r="P40" i="1"/>
  <c r="Q40" i="1"/>
  <c r="R40" i="1"/>
  <c r="H40" i="1"/>
  <c r="M43" i="1" l="1"/>
  <c r="M48" i="1" s="1"/>
  <c r="C46" i="1"/>
  <c r="C49" i="1" s="1"/>
  <c r="J6" i="1" l="1"/>
  <c r="J36" i="1"/>
  <c r="J34" i="1"/>
  <c r="J38" i="1"/>
  <c r="J37" i="1"/>
  <c r="J5" i="1"/>
  <c r="J15" i="1"/>
  <c r="J16" i="1"/>
  <c r="J14" i="1"/>
  <c r="J9" i="1"/>
  <c r="J3" i="1"/>
  <c r="J21" i="1"/>
  <c r="J26" i="1"/>
  <c r="J12" i="1"/>
  <c r="J30" i="1"/>
  <c r="J19" i="1"/>
  <c r="J22" i="1"/>
  <c r="J10" i="1"/>
  <c r="J25" i="1"/>
  <c r="J31" i="1"/>
  <c r="J28" i="1"/>
  <c r="J11" i="1"/>
  <c r="J23" i="1"/>
  <c r="J7" i="1"/>
  <c r="J13" i="1"/>
  <c r="J4" i="1"/>
  <c r="J20" i="1"/>
  <c r="J24" i="1"/>
  <c r="J33" i="1"/>
  <c r="J32" i="1"/>
  <c r="J18" i="1"/>
  <c r="J8" i="1"/>
  <c r="J27" i="1"/>
  <c r="J29" i="1"/>
  <c r="J17" i="1"/>
  <c r="J35" i="1"/>
  <c r="J40" i="1" l="1"/>
</calcChain>
</file>

<file path=xl/sharedStrings.xml><?xml version="1.0" encoding="utf-8"?>
<sst xmlns="http://schemas.openxmlformats.org/spreadsheetml/2006/main" count="340" uniqueCount="172">
  <si>
    <t>Tình trạng TT</t>
  </si>
  <si>
    <t>SHOP</t>
  </si>
  <si>
    <t>TÊN KH</t>
  </si>
  <si>
    <t>MÃ</t>
  </si>
  <si>
    <t>SỐ NHÀ</t>
  </si>
  <si>
    <t>TÊN ĐƯỜNG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</si>
  <si>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</si>
  <si>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</si>
  <si>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</si>
  <si>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</si>
  <si>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</si>
  <si>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</si>
  <si>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</si>
  <si>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</si>
  <si>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</si>
  <si>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</si>
  <si>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</si>
  <si>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hang si</t>
  </si>
  <si>
    <t>chau ngan</t>
  </si>
  <si>
    <t>mie</t>
  </si>
  <si>
    <t>275/14B1</t>
  </si>
  <si>
    <t>dang nguyen can</t>
  </si>
  <si>
    <t>thuong 1994</t>
  </si>
  <si>
    <t>S501</t>
  </si>
  <si>
    <t>vinhome</t>
  </si>
  <si>
    <t>su anh</t>
  </si>
  <si>
    <t>22/40,</t>
  </si>
  <si>
    <t>yen the</t>
  </si>
  <si>
    <t>tan binh</t>
  </si>
  <si>
    <t>minh tue</t>
  </si>
  <si>
    <t>27/5,</t>
  </si>
  <si>
    <t>quach van tuan</t>
  </si>
  <si>
    <t xml:space="preserve">jenny </t>
  </si>
  <si>
    <t>quang trung</t>
  </si>
  <si>
    <t>go vap</t>
  </si>
  <si>
    <t>anh truong</t>
  </si>
  <si>
    <t>hd132474</t>
  </si>
  <si>
    <t>cong so 2</t>
  </si>
  <si>
    <t>cc khang gia</t>
  </si>
  <si>
    <t>tuyet nhi</t>
  </si>
  <si>
    <t>hd132665</t>
  </si>
  <si>
    <t>block D2</t>
  </si>
  <si>
    <t>cc saigon riverside</t>
  </si>
  <si>
    <t>ha nguyen</t>
  </si>
  <si>
    <t>hd132670</t>
  </si>
  <si>
    <t>487/46/4,</t>
  </si>
  <si>
    <t>vo thi nho</t>
  </si>
  <si>
    <t>quynh nhi</t>
  </si>
  <si>
    <t>hd132657</t>
  </si>
  <si>
    <t>180/1T</t>
  </si>
  <si>
    <t>ql1a</t>
  </si>
  <si>
    <t>C30ST</t>
  </si>
  <si>
    <t>hd132516</t>
  </si>
  <si>
    <t>270B</t>
  </si>
  <si>
    <t>ly thuong kiet</t>
  </si>
  <si>
    <t>tran thi minh thuy</t>
  </si>
  <si>
    <t>hd132455</t>
  </si>
  <si>
    <t>683A</t>
  </si>
  <si>
    <t>au co</t>
  </si>
  <si>
    <t>tphu</t>
  </si>
  <si>
    <t>thanh thuy</t>
  </si>
  <si>
    <t>hd132797</t>
  </si>
  <si>
    <t>270/20/2A</t>
  </si>
  <si>
    <t>nguyen trong tuyen</t>
  </si>
  <si>
    <t>phu nhuan</t>
  </si>
  <si>
    <t>nhi nhi</t>
  </si>
  <si>
    <t>hd132833</t>
  </si>
  <si>
    <t>ton dan</t>
  </si>
  <si>
    <t>nguyen ngoc lan anh</t>
  </si>
  <si>
    <t>hd132605</t>
  </si>
  <si>
    <t>82/92,</t>
  </si>
  <si>
    <t>ly chinh thang</t>
  </si>
  <si>
    <t>thanh thanh pham</t>
  </si>
  <si>
    <t>hd132848</t>
  </si>
  <si>
    <t>le lai</t>
  </si>
  <si>
    <t>cherry nguyen</t>
  </si>
  <si>
    <t>hd132785</t>
  </si>
  <si>
    <t>hung vuong</t>
  </si>
  <si>
    <t>minh thu</t>
  </si>
  <si>
    <t>hd132809</t>
  </si>
  <si>
    <t>6/24,</t>
  </si>
  <si>
    <t>tan chanh hiep 36</t>
  </si>
  <si>
    <t>ngoc anh</t>
  </si>
  <si>
    <t>hd132539</t>
  </si>
  <si>
    <t>720A</t>
  </si>
  <si>
    <t>dien bien phu</t>
  </si>
  <si>
    <t>binh thanh</t>
  </si>
  <si>
    <t>bing bing</t>
  </si>
  <si>
    <t>hd132820</t>
  </si>
  <si>
    <t>landmark 5</t>
  </si>
  <si>
    <t>nguyen kim dung</t>
  </si>
  <si>
    <t>hd132850</t>
  </si>
  <si>
    <t>40/20,</t>
  </si>
  <si>
    <t>tran van quang</t>
  </si>
  <si>
    <t>phuong thao</t>
  </si>
  <si>
    <t>hd132844</t>
  </si>
  <si>
    <t>3/51/4,</t>
  </si>
  <si>
    <t>thanh thai</t>
  </si>
  <si>
    <t>tuyet nhung</t>
  </si>
  <si>
    <t>hd132572</t>
  </si>
  <si>
    <t>ds17</t>
  </si>
  <si>
    <t>hd132813</t>
  </si>
  <si>
    <t>gộp</t>
  </si>
  <si>
    <t>kim anh pham</t>
  </si>
  <si>
    <t>hd132501</t>
  </si>
  <si>
    <t>16 cx binh minh</t>
  </si>
  <si>
    <t>duong ba trac</t>
  </si>
  <si>
    <t>hue nghi</t>
  </si>
  <si>
    <t>hd132646</t>
  </si>
  <si>
    <t>115/52a</t>
  </si>
  <si>
    <t>tran dinh xu</t>
  </si>
  <si>
    <t>tran thi cam thuy</t>
  </si>
  <si>
    <t>hd132461</t>
  </si>
  <si>
    <t>5b</t>
  </si>
  <si>
    <t>pho quang</t>
  </si>
  <si>
    <t>nguyen ha</t>
  </si>
  <si>
    <t>hd132789</t>
  </si>
  <si>
    <t>433/11/2,</t>
  </si>
  <si>
    <t>le duc tho</t>
  </si>
  <si>
    <t>loan nguyen</t>
  </si>
  <si>
    <t>hd132817</t>
  </si>
  <si>
    <t>truong sa</t>
  </si>
  <si>
    <t>nguyen le long chau</t>
  </si>
  <si>
    <t>hd132872</t>
  </si>
  <si>
    <t>123/49/4,</t>
  </si>
  <si>
    <t>phan van hon</t>
  </si>
  <si>
    <t>nguyen thi tra my</t>
  </si>
  <si>
    <t>hd132853</t>
  </si>
  <si>
    <t>325/9,</t>
  </si>
  <si>
    <t>bui minh truc</t>
  </si>
  <si>
    <t>tuyet nhung nguyen</t>
  </si>
  <si>
    <t>hd132679</t>
  </si>
  <si>
    <t>duy tan</t>
  </si>
  <si>
    <t>hien hien</t>
  </si>
  <si>
    <t>hd132512</t>
  </si>
  <si>
    <t>163/25/42,</t>
  </si>
  <si>
    <t>to hien thanh</t>
  </si>
  <si>
    <t>nguyen huynh cam tu</t>
  </si>
  <si>
    <t>hd132836</t>
  </si>
  <si>
    <t>park 1</t>
  </si>
  <si>
    <t>quynh giao ngoc phan</t>
  </si>
  <si>
    <t>hd132847</t>
  </si>
  <si>
    <t>paark 6b</t>
  </si>
  <si>
    <t>hien nguyen</t>
  </si>
  <si>
    <t>hd132673</t>
  </si>
  <si>
    <t>bau cat 1</t>
  </si>
  <si>
    <t>lindsie pham</t>
  </si>
  <si>
    <t>hd132489</t>
  </si>
  <si>
    <t xml:space="preserve">sky garden </t>
  </si>
  <si>
    <t>c.cuong</t>
  </si>
  <si>
    <t>27-02-2026.</t>
  </si>
  <si>
    <t>NGAY 27-2</t>
  </si>
  <si>
    <t>THU 6</t>
  </si>
  <si>
    <t>AT 27-2.</t>
  </si>
  <si>
    <t>a hieu</t>
  </si>
  <si>
    <t>Tiền</t>
  </si>
  <si>
    <t>Số đơn</t>
  </si>
  <si>
    <t>Tiền Thu</t>
  </si>
  <si>
    <t>cod</t>
  </si>
  <si>
    <t>Sài Gòn</t>
  </si>
  <si>
    <t>TỔNG ĐƠN NHẬN</t>
  </si>
  <si>
    <t xml:space="preserve">Trừ Tiền Ship  </t>
  </si>
  <si>
    <t>tiền ship</t>
  </si>
  <si>
    <t>Đơn trả &amp; c.khoản</t>
  </si>
  <si>
    <t>tiền lấy</t>
  </si>
  <si>
    <t>Tiền Hàng Hcm</t>
  </si>
  <si>
    <t>đơn trả</t>
  </si>
  <si>
    <t>đền đơn</t>
  </si>
  <si>
    <t>đơn cũ ck</t>
  </si>
  <si>
    <t>nợ cũ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</si>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</sst>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10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4" fillId="3" borderId="1" xfId="0" applyNumberFormat="1" applyFont="1" applyFill="1" applyBorder="1" applyAlignment="1">
      <alignment horizontal="right"/>
    </xf>
    <xf numFmtId="164" fontId="3" fillId="0" borderId="0" xfId="0" applyNumberFormat="1" applyFont="1"/>
    <xf numFmtId="0" fontId="3" fillId="0" borderId="0" xfId="0" applyFont="1"/>
    <xf numFmtId="164" fontId="5" fillId="3" borderId="4" xfId="0" applyNumberFormat="1" applyFont="1" applyFill="1" applyBorder="1"/>
    <xf numFmtId="164" fontId="5" fillId="0" borderId="1" xfId="0" applyNumberFormat="1" applyFont="1" applyBorder="1" applyAlignment="1">
      <alignment horizontal="right"/>
    </xf>
    <xf numFmtId="164" fontId="4" fillId="0" borderId="0" xfId="0" applyNumberFormat="1" applyFont="1"/>
    <xf numFmtId="164" fontId="4" fillId="0" borderId="4" xfId="0" applyNumberFormat="1" applyFont="1" applyBorder="1"/>
    <xf numFmtId="164" fontId="4" fillId="0" borderId="4" xfId="0" applyNumberFormat="1" applyFont="1" applyBorder="1" applyAlignment="1">
      <alignment horizontal="right"/>
    </xf>
    <xf numFmtId="164" fontId="5" fillId="0" borderId="5" xfId="0" applyNumberFormat="1" applyFont="1" applyBorder="1"/>
    <xf numFmtId="164" fontId="5" fillId="0" borderId="5" xfId="0" applyNumberFormat="1" applyFont="1" applyBorder="1" applyAlignment="1">
      <alignment horizontal="right"/>
    </xf>
    <xf numFmtId="164" fontId="3" fillId="0" borderId="4" xfId="0" applyNumberFormat="1" applyFont="1" applyBorder="1"/>
    <xf numFmtId="164" fontId="7" fillId="0" borderId="4" xfId="0" applyNumberFormat="1" applyFont="1" applyBorder="1" applyAlignment="1">
      <alignment horizontal="right"/>
    </xf>
    <xf numFmtId="164" fontId="8" fillId="0" borderId="4" xfId="0" applyNumberFormat="1" applyFont="1" applyBorder="1"/>
    <xf numFmtId="164" fontId="8" fillId="0" borderId="4" xfId="0" applyNumberFormat="1" applyFont="1" applyBorder="1" applyAlignment="1">
      <alignment horizontal="right"/>
    </xf>
    <xf numFmtId="164" fontId="4" fillId="4" borderId="4" xfId="0" applyNumberFormat="1" applyFont="1" applyFill="1" applyBorder="1"/>
    <xf numFmtId="164" fontId="4" fillId="4" borderId="4" xfId="0" applyNumberFormat="1" applyFont="1" applyFill="1" applyBorder="1" applyAlignment="1">
      <alignment horizontal="right"/>
    </xf>
    <xf numFmtId="164" fontId="6" fillId="0" borderId="4" xfId="0" applyNumberFormat="1" applyFont="1" applyBorder="1"/>
    <xf numFmtId="164" fontId="9" fillId="0" borderId="4" xfId="0" applyNumberFormat="1" applyFont="1" applyBorder="1"/>
    <xf numFmtId="164" fontId="4" fillId="5" borderId="4" xfId="0" applyNumberFormat="1" applyFont="1" applyFill="1" applyBorder="1"/>
    <xf numFmtId="164" fontId="6" fillId="6" borderId="4" xfId="0" applyNumberFormat="1" applyFont="1" applyFill="1" applyBorder="1"/>
    <xf numFmtId="164" fontId="9" fillId="6" borderId="4" xfId="0" applyNumberFormat="1" applyFont="1" applyFill="1" applyBorder="1"/>
    <xf numFmtId="164" fontId="5" fillId="4" borderId="4" xfId="0" applyNumberFormat="1" applyFont="1" applyFill="1" applyBorder="1"/>
    <xf numFmtId="164" fontId="3" fillId="4" borderId="4" xfId="0" applyNumberFormat="1" applyFont="1" applyFill="1" applyBorder="1"/>
    <xf numFmtId="164" fontId="3" fillId="6" borderId="4" xfId="0" applyNumberFormat="1" applyFont="1" applyFill="1" applyBorder="1"/>
    <xf numFmtId="164" fontId="5" fillId="6" borderId="4" xfId="0" applyNumberFormat="1" applyFont="1" applyFill="1" applyBorder="1" applyAlignment="1">
      <alignment horizontal="right"/>
    </xf>
    <xf numFmtId="164" fontId="5" fillId="0" borderId="4" xfId="0" applyNumberFormat="1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/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164" fontId="4" fillId="4" borderId="9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FB20-1559-475A-AACF-B3C808504D81}">
  <dimension ref="A1:Z49"/>
  <sheetViews>
    <sheetView tabSelected="1" workbookViewId="0">
      <selection activeCell="M44" sqref="M44"/>
    </sheetView>
  </sheetViews>
  <sheetFormatPr defaultRowHeight="15" x14ac:dyDescent="0.25"/>
  <cols>
    <col min="6" max="6" width="18.5703125" bestFit="1" customWidth="1"/>
    <col min="7" max="7" width="10.5703125" bestFit="1" customWidth="1"/>
    <col min="12" max="12" width="19.28515625" bestFit="1" customWidth="1"/>
  </cols>
  <sheetData>
    <row r="1" spans="1:18" x14ac:dyDescent="0.25">
      <c r="B1" t="s">
        <v>152</v>
      </c>
      <c r="C1" t="s">
        <v>151</v>
      </c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8" x14ac:dyDescent="0.25">
      <c r="A3" s="2"/>
      <c r="B3" s="2" t="s">
        <v>18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>
        <v>529</v>
      </c>
      <c r="I3" s="2">
        <v>25</v>
      </c>
      <c r="J3" s="2">
        <f t="shared" ref="J3:J38" si="0">H3-I3</f>
        <v>504</v>
      </c>
      <c r="K3" s="2" t="s">
        <v>149</v>
      </c>
      <c r="L3" s="2" t="s">
        <v>149</v>
      </c>
      <c r="M3" s="2" t="s">
        <v>150</v>
      </c>
      <c r="N3" s="2"/>
      <c r="O3" s="2"/>
      <c r="P3" s="2"/>
      <c r="Q3" s="2"/>
      <c r="R3">
        <v>1</v>
      </c>
    </row>
    <row r="4" spans="1:18" x14ac:dyDescent="0.25">
      <c r="A4" s="2"/>
      <c r="B4" s="2" t="s">
        <v>18</v>
      </c>
      <c r="C4" s="2" t="s">
        <v>111</v>
      </c>
      <c r="D4" s="2" t="s">
        <v>112</v>
      </c>
      <c r="E4" s="2" t="s">
        <v>113</v>
      </c>
      <c r="F4" s="2" t="s">
        <v>114</v>
      </c>
      <c r="G4" s="2" t="s">
        <v>28</v>
      </c>
      <c r="H4" s="2">
        <v>718</v>
      </c>
      <c r="I4" s="2">
        <v>25</v>
      </c>
      <c r="J4" s="2">
        <f t="shared" si="0"/>
        <v>693</v>
      </c>
      <c r="K4" s="2" t="s">
        <v>154</v>
      </c>
      <c r="L4" s="2" t="s">
        <v>149</v>
      </c>
      <c r="M4" s="2" t="s">
        <v>150</v>
      </c>
      <c r="N4" s="2"/>
      <c r="O4" s="2"/>
      <c r="P4" s="2"/>
      <c r="Q4" s="2"/>
      <c r="R4">
        <v>1</v>
      </c>
    </row>
    <row r="5" spans="1:18" x14ac:dyDescent="0.25">
      <c r="A5" s="2"/>
      <c r="B5" s="2" t="s">
        <v>18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34</v>
      </c>
      <c r="H5" s="2">
        <v>691</v>
      </c>
      <c r="I5" s="2">
        <v>25</v>
      </c>
      <c r="J5" s="2">
        <f t="shared" si="0"/>
        <v>666</v>
      </c>
      <c r="K5" s="2" t="s">
        <v>149</v>
      </c>
      <c r="L5" s="2" t="s">
        <v>149</v>
      </c>
      <c r="M5" s="2" t="s">
        <v>150</v>
      </c>
      <c r="N5" s="2"/>
      <c r="O5" s="2"/>
      <c r="P5" s="2"/>
      <c r="Q5" s="2"/>
      <c r="R5">
        <v>1</v>
      </c>
    </row>
    <row r="6" spans="1:18" x14ac:dyDescent="0.25">
      <c r="A6" s="2"/>
      <c r="B6" s="2" t="s">
        <v>18</v>
      </c>
      <c r="C6" s="2" t="s">
        <v>146</v>
      </c>
      <c r="D6" s="2" t="s">
        <v>147</v>
      </c>
      <c r="E6" s="2" t="s">
        <v>148</v>
      </c>
      <c r="F6" s="2" t="s">
        <v>114</v>
      </c>
      <c r="G6" s="2" t="s">
        <v>28</v>
      </c>
      <c r="H6" s="2">
        <v>907</v>
      </c>
      <c r="I6" s="2">
        <v>25</v>
      </c>
      <c r="J6" s="2">
        <f t="shared" si="0"/>
        <v>882</v>
      </c>
      <c r="K6" s="2" t="s">
        <v>154</v>
      </c>
      <c r="L6" s="2" t="s">
        <v>149</v>
      </c>
      <c r="M6" s="2" t="s">
        <v>150</v>
      </c>
      <c r="N6" s="2"/>
      <c r="O6" s="2"/>
      <c r="P6" s="2"/>
      <c r="Q6" s="2"/>
      <c r="R6">
        <v>1</v>
      </c>
    </row>
    <row r="7" spans="1:18" x14ac:dyDescent="0.25">
      <c r="A7" s="2"/>
      <c r="B7" s="2" t="s">
        <v>18</v>
      </c>
      <c r="C7" s="2" t="s">
        <v>103</v>
      </c>
      <c r="D7" s="2" t="s">
        <v>104</v>
      </c>
      <c r="E7" s="2" t="s">
        <v>105</v>
      </c>
      <c r="F7" s="2" t="s">
        <v>106</v>
      </c>
      <c r="G7" s="2">
        <v>8</v>
      </c>
      <c r="H7" s="2">
        <v>1492</v>
      </c>
      <c r="I7" s="2">
        <v>25</v>
      </c>
      <c r="J7" s="2">
        <f t="shared" si="0"/>
        <v>1467</v>
      </c>
      <c r="K7" s="2" t="s">
        <v>153</v>
      </c>
      <c r="L7" s="2" t="s">
        <v>149</v>
      </c>
      <c r="M7" s="2" t="s">
        <v>150</v>
      </c>
      <c r="N7" s="2"/>
      <c r="O7" s="2"/>
      <c r="P7" s="2"/>
      <c r="Q7" s="2"/>
      <c r="R7">
        <v>1</v>
      </c>
    </row>
    <row r="8" spans="1:18" x14ac:dyDescent="0.25">
      <c r="A8" s="2"/>
      <c r="B8" s="2" t="s">
        <v>18</v>
      </c>
      <c r="C8" s="2" t="s">
        <v>133</v>
      </c>
      <c r="D8" s="2" t="s">
        <v>134</v>
      </c>
      <c r="E8" s="2" t="s">
        <v>135</v>
      </c>
      <c r="F8" s="2" t="s">
        <v>136</v>
      </c>
      <c r="G8" s="2">
        <v>10</v>
      </c>
      <c r="H8" s="2">
        <v>799</v>
      </c>
      <c r="I8" s="2">
        <v>25</v>
      </c>
      <c r="J8" s="2">
        <f t="shared" si="0"/>
        <v>774</v>
      </c>
      <c r="K8" s="2" t="s">
        <v>154</v>
      </c>
      <c r="L8" s="2" t="s">
        <v>149</v>
      </c>
      <c r="M8" s="2" t="s">
        <v>150</v>
      </c>
      <c r="N8" s="2"/>
      <c r="O8" s="2"/>
      <c r="P8" s="2"/>
      <c r="Q8" s="2"/>
      <c r="R8">
        <v>1</v>
      </c>
    </row>
    <row r="9" spans="1:18" x14ac:dyDescent="0.25">
      <c r="A9" s="2"/>
      <c r="B9" s="2" t="s">
        <v>18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28</v>
      </c>
      <c r="H9" s="2">
        <v>547</v>
      </c>
      <c r="I9" s="2">
        <v>25</v>
      </c>
      <c r="J9" s="2">
        <f t="shared" si="0"/>
        <v>522</v>
      </c>
      <c r="K9" s="2" t="s">
        <v>154</v>
      </c>
      <c r="L9" s="2" t="s">
        <v>149</v>
      </c>
      <c r="M9" s="2" t="s">
        <v>150</v>
      </c>
      <c r="N9" s="2"/>
      <c r="O9" s="2"/>
      <c r="P9" s="2"/>
      <c r="Q9" s="2"/>
      <c r="R9">
        <v>1</v>
      </c>
    </row>
    <row r="10" spans="1:18" x14ac:dyDescent="0.25">
      <c r="A10" s="2"/>
      <c r="B10" s="2" t="s">
        <v>18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>
        <v>524</v>
      </c>
      <c r="I10" s="2">
        <v>20</v>
      </c>
      <c r="J10" s="2">
        <f t="shared" si="0"/>
        <v>504</v>
      </c>
      <c r="K10" s="2" t="s">
        <v>149</v>
      </c>
      <c r="L10" s="2" t="s">
        <v>149</v>
      </c>
      <c r="M10" s="2" t="s">
        <v>150</v>
      </c>
      <c r="N10" s="2"/>
      <c r="O10" s="2"/>
      <c r="P10" s="2"/>
      <c r="Q10" s="2"/>
      <c r="R10">
        <v>1</v>
      </c>
    </row>
    <row r="11" spans="1:18" x14ac:dyDescent="0.25">
      <c r="A11" s="2"/>
      <c r="B11" s="2" t="s">
        <v>18</v>
      </c>
      <c r="C11" s="2" t="s">
        <v>98</v>
      </c>
      <c r="D11" s="2" t="s">
        <v>99</v>
      </c>
      <c r="E11" s="2">
        <v>66</v>
      </c>
      <c r="F11" s="2" t="s">
        <v>100</v>
      </c>
      <c r="G11" s="2">
        <v>6</v>
      </c>
      <c r="H11" s="2">
        <v>0</v>
      </c>
      <c r="I11" s="2">
        <v>25</v>
      </c>
      <c r="J11" s="2">
        <f t="shared" si="0"/>
        <v>-25</v>
      </c>
      <c r="K11" s="2" t="s">
        <v>153</v>
      </c>
      <c r="L11" s="2" t="s">
        <v>149</v>
      </c>
      <c r="M11" s="2" t="s">
        <v>150</v>
      </c>
      <c r="N11" s="2"/>
      <c r="O11" s="2"/>
      <c r="P11" s="2"/>
      <c r="Q11" s="2"/>
      <c r="R11">
        <v>1</v>
      </c>
    </row>
    <row r="12" spans="1:18" x14ac:dyDescent="0.25">
      <c r="A12" s="2"/>
      <c r="B12" s="2" t="s">
        <v>18</v>
      </c>
      <c r="C12" s="2" t="s">
        <v>68</v>
      </c>
      <c r="D12" s="2" t="s">
        <v>69</v>
      </c>
      <c r="E12" s="2" t="s">
        <v>70</v>
      </c>
      <c r="F12" s="2" t="s">
        <v>71</v>
      </c>
      <c r="G12" s="2">
        <v>3</v>
      </c>
      <c r="H12" s="2">
        <v>641</v>
      </c>
      <c r="I12" s="2">
        <v>20</v>
      </c>
      <c r="J12" s="2">
        <f t="shared" si="0"/>
        <v>621</v>
      </c>
      <c r="K12" s="2" t="s">
        <v>154</v>
      </c>
      <c r="L12" s="2" t="s">
        <v>149</v>
      </c>
      <c r="M12" s="2" t="s">
        <v>150</v>
      </c>
      <c r="N12" s="2"/>
      <c r="O12" s="2"/>
      <c r="P12" s="2"/>
      <c r="Q12" s="2"/>
      <c r="R12">
        <v>1</v>
      </c>
    </row>
    <row r="13" spans="1:18" x14ac:dyDescent="0.25">
      <c r="A13" s="2"/>
      <c r="B13" s="2" t="s">
        <v>18</v>
      </c>
      <c r="C13" s="2" t="s">
        <v>107</v>
      </c>
      <c r="D13" s="2" t="s">
        <v>108</v>
      </c>
      <c r="E13" s="2" t="s">
        <v>109</v>
      </c>
      <c r="F13" s="2" t="s">
        <v>110</v>
      </c>
      <c r="G13" s="2">
        <v>1</v>
      </c>
      <c r="H13" s="2">
        <v>0</v>
      </c>
      <c r="I13" s="2">
        <v>20</v>
      </c>
      <c r="J13" s="2">
        <f t="shared" si="0"/>
        <v>-20</v>
      </c>
      <c r="K13" s="2" t="s">
        <v>154</v>
      </c>
      <c r="L13" s="2" t="s">
        <v>149</v>
      </c>
      <c r="M13" s="2" t="s">
        <v>150</v>
      </c>
      <c r="N13" s="2"/>
      <c r="O13" s="2"/>
      <c r="P13" s="2"/>
      <c r="Q13" s="2"/>
      <c r="R13">
        <v>1</v>
      </c>
    </row>
    <row r="14" spans="1:18" x14ac:dyDescent="0.25">
      <c r="A14" s="2"/>
      <c r="B14" s="2" t="s">
        <v>18</v>
      </c>
      <c r="C14" s="2" t="s">
        <v>47</v>
      </c>
      <c r="D14" s="2" t="s">
        <v>48</v>
      </c>
      <c r="E14" s="2" t="s">
        <v>49</v>
      </c>
      <c r="F14" s="2" t="s">
        <v>50</v>
      </c>
      <c r="G14" s="2">
        <v>9</v>
      </c>
      <c r="H14" s="2">
        <v>696</v>
      </c>
      <c r="I14" s="2">
        <v>30</v>
      </c>
      <c r="J14" s="2">
        <f t="shared" si="0"/>
        <v>666</v>
      </c>
      <c r="K14" s="2" t="s">
        <v>149</v>
      </c>
      <c r="L14" s="2" t="s">
        <v>149</v>
      </c>
      <c r="M14" s="2" t="s">
        <v>150</v>
      </c>
      <c r="N14" s="2"/>
      <c r="O14" s="2"/>
      <c r="P14" s="2"/>
      <c r="Q14" s="2"/>
      <c r="R14">
        <v>1</v>
      </c>
    </row>
    <row r="15" spans="1:18" x14ac:dyDescent="0.25">
      <c r="A15" s="2"/>
      <c r="B15" s="2" t="s">
        <v>18</v>
      </c>
      <c r="C15" s="2" t="s">
        <v>39</v>
      </c>
      <c r="D15" s="2" t="s">
        <v>40</v>
      </c>
      <c r="E15" s="2" t="s">
        <v>41</v>
      </c>
      <c r="F15" s="2" t="s">
        <v>42</v>
      </c>
      <c r="G15" s="2">
        <v>7</v>
      </c>
      <c r="H15" s="2">
        <v>1515</v>
      </c>
      <c r="I15" s="2">
        <v>30</v>
      </c>
      <c r="J15" s="2">
        <f t="shared" si="0"/>
        <v>1485</v>
      </c>
      <c r="K15" s="2" t="s">
        <v>153</v>
      </c>
      <c r="L15" s="2" t="s">
        <v>149</v>
      </c>
      <c r="M15" s="2" t="s">
        <v>150</v>
      </c>
      <c r="N15" s="2"/>
      <c r="O15" s="2"/>
      <c r="P15" s="2"/>
      <c r="Q15" s="2"/>
      <c r="R15">
        <v>1</v>
      </c>
    </row>
    <row r="16" spans="1:18" x14ac:dyDescent="0.25">
      <c r="A16" s="2"/>
      <c r="B16" s="2" t="s">
        <v>18</v>
      </c>
      <c r="C16" s="2" t="s">
        <v>43</v>
      </c>
      <c r="D16" s="2" t="s">
        <v>44</v>
      </c>
      <c r="E16" s="2" t="s">
        <v>45</v>
      </c>
      <c r="F16" s="2" t="s">
        <v>46</v>
      </c>
      <c r="G16" s="2">
        <v>7</v>
      </c>
      <c r="H16" s="2">
        <v>741</v>
      </c>
      <c r="I16" s="2">
        <v>30</v>
      </c>
      <c r="J16" s="2">
        <f t="shared" si="0"/>
        <v>711</v>
      </c>
      <c r="K16" s="2" t="s">
        <v>153</v>
      </c>
      <c r="L16" s="2" t="s">
        <v>149</v>
      </c>
      <c r="M16" s="2" t="s">
        <v>150</v>
      </c>
      <c r="N16" s="2"/>
      <c r="O16" s="2"/>
      <c r="P16" s="2"/>
      <c r="Q16" s="2"/>
      <c r="R16">
        <v>1</v>
      </c>
    </row>
    <row r="17" spans="1:18" x14ac:dyDescent="0.25">
      <c r="A17" s="2"/>
      <c r="B17" s="2" t="s">
        <v>18</v>
      </c>
      <c r="C17" s="2" t="s">
        <v>143</v>
      </c>
      <c r="D17" s="2" t="s">
        <v>144</v>
      </c>
      <c r="E17" s="2">
        <v>51</v>
      </c>
      <c r="F17" s="2" t="s">
        <v>145</v>
      </c>
      <c r="G17" s="2" t="s">
        <v>28</v>
      </c>
      <c r="H17" s="2">
        <v>718</v>
      </c>
      <c r="I17" s="2">
        <v>25</v>
      </c>
      <c r="J17" s="2">
        <f t="shared" si="0"/>
        <v>693</v>
      </c>
      <c r="K17" s="2" t="s">
        <v>149</v>
      </c>
      <c r="L17" s="2" t="s">
        <v>149</v>
      </c>
      <c r="M17" s="2" t="s">
        <v>150</v>
      </c>
      <c r="N17" s="2"/>
      <c r="O17" s="2"/>
      <c r="P17" s="2"/>
      <c r="Q17" s="2"/>
      <c r="R17">
        <v>1</v>
      </c>
    </row>
    <row r="18" spans="1:18" x14ac:dyDescent="0.25">
      <c r="A18" s="2"/>
      <c r="B18" s="2" t="s">
        <v>18</v>
      </c>
      <c r="C18" s="2" t="s">
        <v>130</v>
      </c>
      <c r="D18" s="2" t="s">
        <v>131</v>
      </c>
      <c r="E18" s="2">
        <v>35</v>
      </c>
      <c r="F18" s="2" t="s">
        <v>132</v>
      </c>
      <c r="G18" s="2" t="s">
        <v>28</v>
      </c>
      <c r="H18" s="2">
        <v>845</v>
      </c>
      <c r="I18" s="2">
        <v>25</v>
      </c>
      <c r="J18" s="2">
        <f t="shared" si="0"/>
        <v>820</v>
      </c>
      <c r="K18" s="2" t="s">
        <v>153</v>
      </c>
      <c r="L18" s="2" t="s">
        <v>149</v>
      </c>
      <c r="M18" s="2" t="s">
        <v>150</v>
      </c>
      <c r="N18" s="2"/>
      <c r="O18" s="2"/>
      <c r="P18" s="2"/>
      <c r="Q18" s="2"/>
      <c r="R18">
        <v>1</v>
      </c>
    </row>
    <row r="19" spans="1:18" x14ac:dyDescent="0.25">
      <c r="A19" s="2"/>
      <c r="B19" s="2" t="s">
        <v>18</v>
      </c>
      <c r="C19" s="2" t="s">
        <v>75</v>
      </c>
      <c r="D19" s="2" t="s">
        <v>76</v>
      </c>
      <c r="E19" s="2">
        <v>66</v>
      </c>
      <c r="F19" s="2" t="s">
        <v>77</v>
      </c>
      <c r="G19" s="2">
        <v>10</v>
      </c>
      <c r="H19" s="2">
        <v>1555</v>
      </c>
      <c r="I19" s="2">
        <v>25</v>
      </c>
      <c r="J19" s="2">
        <f t="shared" si="0"/>
        <v>1530</v>
      </c>
      <c r="K19" s="2" t="s">
        <v>154</v>
      </c>
      <c r="L19" s="2" t="s">
        <v>149</v>
      </c>
      <c r="M19" s="2" t="s">
        <v>150</v>
      </c>
      <c r="N19" s="2"/>
      <c r="O19" s="2"/>
      <c r="P19" s="2"/>
      <c r="Q19" s="2"/>
      <c r="R19">
        <v>1</v>
      </c>
    </row>
    <row r="20" spans="1:18" x14ac:dyDescent="0.25">
      <c r="A20" s="2"/>
      <c r="B20" s="2" t="s">
        <v>18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34</v>
      </c>
      <c r="H20" s="2">
        <v>763</v>
      </c>
      <c r="I20" s="2">
        <v>25</v>
      </c>
      <c r="J20" s="2">
        <f t="shared" si="0"/>
        <v>738</v>
      </c>
      <c r="K20" s="2" t="s">
        <v>149</v>
      </c>
      <c r="L20" s="2" t="s">
        <v>149</v>
      </c>
      <c r="M20" s="2" t="s">
        <v>150</v>
      </c>
      <c r="N20" s="2"/>
      <c r="O20" s="2"/>
      <c r="P20" s="2"/>
      <c r="Q20" s="2"/>
      <c r="R20">
        <v>1</v>
      </c>
    </row>
    <row r="21" spans="1:18" x14ac:dyDescent="0.25">
      <c r="A21" s="2"/>
      <c r="B21" s="2" t="s">
        <v>18</v>
      </c>
      <c r="C21" s="2" t="s">
        <v>60</v>
      </c>
      <c r="D21" s="2" t="s">
        <v>61</v>
      </c>
      <c r="E21" s="2" t="s">
        <v>62</v>
      </c>
      <c r="F21" s="2" t="s">
        <v>63</v>
      </c>
      <c r="G21" s="2" t="s">
        <v>64</v>
      </c>
      <c r="H21" s="2">
        <v>780</v>
      </c>
      <c r="I21" s="2">
        <v>20</v>
      </c>
      <c r="J21" s="2">
        <f t="shared" si="0"/>
        <v>760</v>
      </c>
      <c r="K21" s="2" t="s">
        <v>154</v>
      </c>
      <c r="L21" s="2" t="s">
        <v>149</v>
      </c>
      <c r="M21" s="2" t="s">
        <v>150</v>
      </c>
      <c r="N21" s="2"/>
      <c r="O21" s="2"/>
      <c r="P21" s="2"/>
      <c r="Q21" s="2"/>
      <c r="R21">
        <v>1</v>
      </c>
    </row>
    <row r="22" spans="1:18" x14ac:dyDescent="0.25">
      <c r="A22" s="2"/>
      <c r="B22" s="2" t="s">
        <v>18</v>
      </c>
      <c r="C22" s="2" t="s">
        <v>78</v>
      </c>
      <c r="D22" s="2" t="s">
        <v>79</v>
      </c>
      <c r="E22" s="2" t="s">
        <v>80</v>
      </c>
      <c r="F22" s="2" t="s">
        <v>81</v>
      </c>
      <c r="G22" s="2">
        <v>12</v>
      </c>
      <c r="H22" s="2">
        <v>1020</v>
      </c>
      <c r="I22" s="2">
        <v>30</v>
      </c>
      <c r="J22" s="2">
        <f t="shared" si="0"/>
        <v>990</v>
      </c>
      <c r="K22" s="2" t="s">
        <v>153</v>
      </c>
      <c r="L22" s="2" t="s">
        <v>149</v>
      </c>
      <c r="M22" s="2" t="s">
        <v>150</v>
      </c>
      <c r="N22" s="2"/>
      <c r="O22" s="2"/>
      <c r="P22" s="2"/>
      <c r="Q22" s="2"/>
      <c r="R22">
        <v>1</v>
      </c>
    </row>
    <row r="23" spans="1:18" x14ac:dyDescent="0.25">
      <c r="A23" s="2"/>
      <c r="B23" s="2" t="s">
        <v>18</v>
      </c>
      <c r="C23" s="2" t="s">
        <v>35</v>
      </c>
      <c r="D23" s="2" t="s">
        <v>101</v>
      </c>
      <c r="E23" s="2" t="s">
        <v>37</v>
      </c>
      <c r="F23" s="2" t="s">
        <v>38</v>
      </c>
      <c r="G23" s="2" t="s">
        <v>34</v>
      </c>
      <c r="H23" s="2">
        <v>864</v>
      </c>
      <c r="I23" s="2">
        <v>0</v>
      </c>
      <c r="J23" s="2">
        <f t="shared" si="0"/>
        <v>864</v>
      </c>
      <c r="K23" s="2" t="s">
        <v>149</v>
      </c>
      <c r="L23" s="2" t="s">
        <v>149</v>
      </c>
      <c r="M23" s="2" t="s">
        <v>150</v>
      </c>
      <c r="N23" s="3" t="s">
        <v>102</v>
      </c>
      <c r="O23" s="2"/>
      <c r="P23" s="2"/>
      <c r="Q23" s="2"/>
      <c r="R23">
        <v>1</v>
      </c>
    </row>
    <row r="24" spans="1:18" x14ac:dyDescent="0.25">
      <c r="A24" s="2"/>
      <c r="B24" s="2" t="s">
        <v>18</v>
      </c>
      <c r="C24" s="2" t="s">
        <v>119</v>
      </c>
      <c r="D24" s="2" t="s">
        <v>120</v>
      </c>
      <c r="E24" s="2">
        <v>74</v>
      </c>
      <c r="F24" s="2" t="s">
        <v>121</v>
      </c>
      <c r="G24" s="2" t="s">
        <v>86</v>
      </c>
      <c r="H24" s="2">
        <v>840</v>
      </c>
      <c r="I24" s="2">
        <v>20</v>
      </c>
      <c r="J24" s="2">
        <f t="shared" si="0"/>
        <v>820</v>
      </c>
      <c r="K24" s="2" t="s">
        <v>149</v>
      </c>
      <c r="L24" s="2" t="s">
        <v>149</v>
      </c>
      <c r="M24" s="2" t="s">
        <v>150</v>
      </c>
      <c r="N24" s="2"/>
      <c r="O24" s="2"/>
      <c r="P24" s="2"/>
      <c r="Q24" s="2"/>
      <c r="R24">
        <v>1</v>
      </c>
    </row>
    <row r="25" spans="1:18" x14ac:dyDescent="0.25">
      <c r="A25" s="2"/>
      <c r="B25" s="2" t="s">
        <v>18</v>
      </c>
      <c r="C25" s="2" t="s">
        <v>87</v>
      </c>
      <c r="D25" s="2" t="s">
        <v>88</v>
      </c>
      <c r="E25" s="2" t="s">
        <v>89</v>
      </c>
      <c r="F25" s="2" t="s">
        <v>24</v>
      </c>
      <c r="G25" s="2" t="s">
        <v>86</v>
      </c>
      <c r="H25" s="2">
        <v>0</v>
      </c>
      <c r="I25" s="2">
        <v>20</v>
      </c>
      <c r="J25" s="2">
        <f t="shared" si="0"/>
        <v>-20</v>
      </c>
      <c r="K25" s="2" t="s">
        <v>149</v>
      </c>
      <c r="L25" s="2" t="s">
        <v>149</v>
      </c>
      <c r="M25" s="2" t="s">
        <v>150</v>
      </c>
      <c r="N25" s="2"/>
      <c r="O25" s="2"/>
      <c r="P25" s="2"/>
      <c r="Q25" s="2"/>
      <c r="R25">
        <v>1</v>
      </c>
    </row>
    <row r="26" spans="1:18" x14ac:dyDescent="0.25">
      <c r="A26" s="2"/>
      <c r="B26" s="2" t="s">
        <v>18</v>
      </c>
      <c r="C26" s="2" t="s">
        <v>65</v>
      </c>
      <c r="D26" s="2" t="s">
        <v>66</v>
      </c>
      <c r="E26" s="2">
        <v>174</v>
      </c>
      <c r="F26" s="2" t="s">
        <v>67</v>
      </c>
      <c r="G26" s="2">
        <v>4</v>
      </c>
      <c r="H26" s="2">
        <v>736</v>
      </c>
      <c r="I26" s="2">
        <v>25</v>
      </c>
      <c r="J26" s="2">
        <f t="shared" si="0"/>
        <v>711</v>
      </c>
      <c r="K26" s="2" t="s">
        <v>154</v>
      </c>
      <c r="L26" s="2" t="s">
        <v>149</v>
      </c>
      <c r="M26" s="2" t="s">
        <v>150</v>
      </c>
      <c r="N26" s="2"/>
      <c r="O26" s="2"/>
      <c r="P26" s="2"/>
      <c r="Q26" s="2"/>
      <c r="R26">
        <v>1</v>
      </c>
    </row>
    <row r="27" spans="1:18" x14ac:dyDescent="0.25">
      <c r="A27" s="2"/>
      <c r="B27" s="2" t="s">
        <v>18</v>
      </c>
      <c r="C27" s="2" t="s">
        <v>137</v>
      </c>
      <c r="D27" s="2" t="s">
        <v>138</v>
      </c>
      <c r="E27" s="2" t="s">
        <v>139</v>
      </c>
      <c r="F27" s="2" t="s">
        <v>24</v>
      </c>
      <c r="G27" s="2" t="s">
        <v>86</v>
      </c>
      <c r="H27" s="2">
        <v>911</v>
      </c>
      <c r="I27" s="2">
        <v>20</v>
      </c>
      <c r="J27" s="2">
        <f t="shared" si="0"/>
        <v>891</v>
      </c>
      <c r="K27" s="2" t="s">
        <v>149</v>
      </c>
      <c r="L27" s="2" t="s">
        <v>149</v>
      </c>
      <c r="M27" s="2" t="s">
        <v>150</v>
      </c>
      <c r="N27" s="2"/>
      <c r="O27" s="2"/>
      <c r="P27" s="2"/>
      <c r="Q27" s="2"/>
      <c r="R27">
        <v>1</v>
      </c>
    </row>
    <row r="28" spans="1:18" x14ac:dyDescent="0.25">
      <c r="A28" s="2"/>
      <c r="B28" s="2" t="s">
        <v>18</v>
      </c>
      <c r="C28" s="2" t="s">
        <v>94</v>
      </c>
      <c r="D28" s="2" t="s">
        <v>95</v>
      </c>
      <c r="E28" s="2" t="s">
        <v>96</v>
      </c>
      <c r="F28" s="2" t="s">
        <v>97</v>
      </c>
      <c r="G28" s="2">
        <v>10</v>
      </c>
      <c r="H28" s="2">
        <v>815</v>
      </c>
      <c r="I28" s="2">
        <v>25</v>
      </c>
      <c r="J28" s="2">
        <f t="shared" si="0"/>
        <v>790</v>
      </c>
      <c r="K28" s="2" t="s">
        <v>154</v>
      </c>
      <c r="L28" s="2" t="s">
        <v>149</v>
      </c>
      <c r="M28" s="2" t="s">
        <v>150</v>
      </c>
      <c r="N28" s="2"/>
      <c r="O28" s="2"/>
      <c r="P28" s="2"/>
      <c r="Q28" s="2"/>
      <c r="R28">
        <v>1</v>
      </c>
    </row>
    <row r="29" spans="1:18" x14ac:dyDescent="0.25">
      <c r="A29" s="2"/>
      <c r="B29" s="2" t="s">
        <v>18</v>
      </c>
      <c r="C29" s="2" t="s">
        <v>140</v>
      </c>
      <c r="D29" s="2" t="s">
        <v>141</v>
      </c>
      <c r="E29" s="2" t="s">
        <v>142</v>
      </c>
      <c r="F29" s="2" t="s">
        <v>24</v>
      </c>
      <c r="G29" s="2" t="s">
        <v>86</v>
      </c>
      <c r="H29" s="2">
        <v>731</v>
      </c>
      <c r="I29" s="2">
        <v>20</v>
      </c>
      <c r="J29" s="2">
        <f t="shared" si="0"/>
        <v>711</v>
      </c>
      <c r="K29" s="2" t="s">
        <v>149</v>
      </c>
      <c r="L29" s="2" t="s">
        <v>149</v>
      </c>
      <c r="M29" s="2" t="s">
        <v>150</v>
      </c>
      <c r="N29" s="2"/>
      <c r="O29" s="2"/>
      <c r="P29" s="2"/>
      <c r="Q29" s="2"/>
      <c r="R29">
        <v>1</v>
      </c>
    </row>
    <row r="30" spans="1:18" x14ac:dyDescent="0.25">
      <c r="A30" s="2"/>
      <c r="B30" s="2" t="s">
        <v>18</v>
      </c>
      <c r="C30" s="2" t="s">
        <v>72</v>
      </c>
      <c r="D30" s="2" t="s">
        <v>73</v>
      </c>
      <c r="E30" s="2">
        <v>200</v>
      </c>
      <c r="F30" s="2" t="s">
        <v>74</v>
      </c>
      <c r="G30" s="2">
        <v>1</v>
      </c>
      <c r="H30" s="2">
        <v>731</v>
      </c>
      <c r="I30" s="2">
        <v>20</v>
      </c>
      <c r="J30" s="2">
        <f t="shared" si="0"/>
        <v>711</v>
      </c>
      <c r="K30" s="2" t="s">
        <v>154</v>
      </c>
      <c r="L30" s="2" t="s">
        <v>149</v>
      </c>
      <c r="M30" s="2" t="s">
        <v>150</v>
      </c>
      <c r="N30" s="2"/>
      <c r="O30" s="2"/>
      <c r="P30" s="2"/>
      <c r="Q30" s="2"/>
      <c r="R30">
        <v>1</v>
      </c>
    </row>
    <row r="31" spans="1:18" x14ac:dyDescent="0.25">
      <c r="A31" s="2"/>
      <c r="B31" s="2" t="s">
        <v>18</v>
      </c>
      <c r="C31" s="2" t="s">
        <v>90</v>
      </c>
      <c r="D31" s="2" t="s">
        <v>91</v>
      </c>
      <c r="E31" s="2" t="s">
        <v>92</v>
      </c>
      <c r="F31" s="2" t="s">
        <v>93</v>
      </c>
      <c r="G31" s="2" t="s">
        <v>28</v>
      </c>
      <c r="H31" s="2">
        <v>0</v>
      </c>
      <c r="I31" s="2">
        <v>25</v>
      </c>
      <c r="J31" s="2">
        <f t="shared" si="0"/>
        <v>-25</v>
      </c>
      <c r="K31" s="2" t="s">
        <v>153</v>
      </c>
      <c r="L31" s="2" t="s">
        <v>149</v>
      </c>
      <c r="M31" s="2" t="s">
        <v>150</v>
      </c>
      <c r="N31" s="2"/>
      <c r="O31" s="2"/>
      <c r="P31" s="2"/>
      <c r="Q31" s="2"/>
      <c r="R31">
        <v>1</v>
      </c>
    </row>
    <row r="32" spans="1:18" x14ac:dyDescent="0.25">
      <c r="A32" s="2"/>
      <c r="B32" s="2" t="s">
        <v>18</v>
      </c>
      <c r="C32" s="2" t="s">
        <v>126</v>
      </c>
      <c r="D32" s="2" t="s">
        <v>127</v>
      </c>
      <c r="E32" s="2" t="s">
        <v>128</v>
      </c>
      <c r="F32" s="2" t="s">
        <v>129</v>
      </c>
      <c r="G32" s="2">
        <v>8</v>
      </c>
      <c r="H32" s="2">
        <v>741</v>
      </c>
      <c r="I32" s="2">
        <v>30</v>
      </c>
      <c r="J32" s="2">
        <f t="shared" si="0"/>
        <v>711</v>
      </c>
      <c r="K32" s="2" t="s">
        <v>153</v>
      </c>
      <c r="L32" s="2" t="s">
        <v>149</v>
      </c>
      <c r="M32" s="2" t="s">
        <v>150</v>
      </c>
      <c r="N32" s="2"/>
      <c r="O32" s="2"/>
      <c r="P32" s="2"/>
      <c r="Q32" s="2"/>
      <c r="R32">
        <v>1</v>
      </c>
    </row>
    <row r="33" spans="1:26" x14ac:dyDescent="0.25">
      <c r="A33" s="2"/>
      <c r="B33" s="2" t="s">
        <v>18</v>
      </c>
      <c r="C33" s="2" t="s">
        <v>122</v>
      </c>
      <c r="D33" s="2" t="s">
        <v>123</v>
      </c>
      <c r="E33" s="2" t="s">
        <v>124</v>
      </c>
      <c r="F33" s="2" t="s">
        <v>125</v>
      </c>
      <c r="G33" s="2">
        <v>12</v>
      </c>
      <c r="H33" s="2">
        <v>820</v>
      </c>
      <c r="I33" s="2">
        <v>30</v>
      </c>
      <c r="J33" s="2">
        <f t="shared" si="0"/>
        <v>790</v>
      </c>
      <c r="K33" s="2" t="s">
        <v>153</v>
      </c>
      <c r="L33" s="2" t="s">
        <v>149</v>
      </c>
      <c r="M33" s="2" t="s">
        <v>150</v>
      </c>
      <c r="N33" s="2"/>
      <c r="O33" s="2"/>
      <c r="P33" s="2"/>
      <c r="Q33" s="2"/>
      <c r="R33">
        <v>1</v>
      </c>
    </row>
    <row r="34" spans="1:26" x14ac:dyDescent="0.25">
      <c r="A34" s="2" t="s">
        <v>17</v>
      </c>
      <c r="B34" s="2" t="s">
        <v>18</v>
      </c>
      <c r="C34" s="2" t="s">
        <v>25</v>
      </c>
      <c r="D34" s="2"/>
      <c r="E34" s="2" t="s">
        <v>26</v>
      </c>
      <c r="F34" s="2" t="s">
        <v>27</v>
      </c>
      <c r="G34" s="2" t="s">
        <v>28</v>
      </c>
      <c r="H34" s="2">
        <v>30</v>
      </c>
      <c r="I34" s="2">
        <v>30</v>
      </c>
      <c r="J34" s="2">
        <f t="shared" si="0"/>
        <v>0</v>
      </c>
      <c r="K34" s="2" t="s">
        <v>154</v>
      </c>
      <c r="L34" s="2" t="s">
        <v>149</v>
      </c>
      <c r="M34" s="2" t="s">
        <v>150</v>
      </c>
      <c r="N34" s="2"/>
      <c r="O34" s="2"/>
      <c r="P34" s="2"/>
      <c r="Q34" s="2"/>
      <c r="R34">
        <v>1</v>
      </c>
    </row>
    <row r="35" spans="1:26" x14ac:dyDescent="0.25">
      <c r="A35" s="2" t="s">
        <v>17</v>
      </c>
      <c r="B35" s="2" t="s">
        <v>18</v>
      </c>
      <c r="C35" s="2" t="s">
        <v>19</v>
      </c>
      <c r="D35" s="2"/>
      <c r="E35" s="2" t="s">
        <v>20</v>
      </c>
      <c r="F35" s="2" t="s">
        <v>21</v>
      </c>
      <c r="G35" s="2">
        <v>6</v>
      </c>
      <c r="H35" s="2">
        <v>0</v>
      </c>
      <c r="I35" s="2">
        <v>30</v>
      </c>
      <c r="J35" s="2">
        <f t="shared" si="0"/>
        <v>-30</v>
      </c>
      <c r="K35" s="2" t="s">
        <v>153</v>
      </c>
      <c r="L35" s="2" t="s">
        <v>149</v>
      </c>
      <c r="M35" s="2" t="s">
        <v>150</v>
      </c>
      <c r="N35" s="2"/>
      <c r="O35" s="2"/>
      <c r="P35" s="2"/>
      <c r="Q35" s="2"/>
      <c r="R35">
        <v>1</v>
      </c>
    </row>
    <row r="36" spans="1:26" x14ac:dyDescent="0.25">
      <c r="A36" s="2" t="s">
        <v>17</v>
      </c>
      <c r="B36" s="2" t="s">
        <v>18</v>
      </c>
      <c r="C36" s="2" t="s">
        <v>22</v>
      </c>
      <c r="D36" s="2"/>
      <c r="E36" s="2" t="s">
        <v>23</v>
      </c>
      <c r="F36" s="2" t="s">
        <v>24</v>
      </c>
      <c r="G36" s="2">
        <v>9</v>
      </c>
      <c r="H36" s="2">
        <v>35</v>
      </c>
      <c r="I36" s="2">
        <v>35</v>
      </c>
      <c r="J36" s="2">
        <f t="shared" si="0"/>
        <v>0</v>
      </c>
      <c r="K36" s="2" t="s">
        <v>149</v>
      </c>
      <c r="L36" s="2" t="s">
        <v>149</v>
      </c>
      <c r="M36" s="2" t="s">
        <v>150</v>
      </c>
      <c r="N36" s="2"/>
      <c r="O36" s="2"/>
      <c r="P36" s="2"/>
      <c r="Q36" s="2"/>
      <c r="R36">
        <v>1</v>
      </c>
    </row>
    <row r="37" spans="1:26" x14ac:dyDescent="0.25">
      <c r="A37" s="2" t="s">
        <v>17</v>
      </c>
      <c r="B37" s="2" t="s">
        <v>18</v>
      </c>
      <c r="C37" s="2" t="s">
        <v>32</v>
      </c>
      <c r="D37" s="2"/>
      <c r="E37" s="2">
        <v>401</v>
      </c>
      <c r="F37" s="2" t="s">
        <v>33</v>
      </c>
      <c r="G37" s="2" t="s">
        <v>34</v>
      </c>
      <c r="H37" s="2">
        <v>7310</v>
      </c>
      <c r="I37" s="2">
        <v>30</v>
      </c>
      <c r="J37" s="2">
        <f t="shared" si="0"/>
        <v>7280</v>
      </c>
      <c r="K37" s="2" t="s">
        <v>149</v>
      </c>
      <c r="L37" s="2" t="s">
        <v>149</v>
      </c>
      <c r="M37" s="2" t="s">
        <v>150</v>
      </c>
      <c r="N37" s="2"/>
      <c r="O37" s="2"/>
      <c r="P37" s="2"/>
      <c r="Q37" s="2"/>
      <c r="R37">
        <v>1</v>
      </c>
    </row>
    <row r="38" spans="1:26" x14ac:dyDescent="0.25">
      <c r="A38" s="2" t="s">
        <v>17</v>
      </c>
      <c r="B38" s="2" t="s">
        <v>18</v>
      </c>
      <c r="C38" s="2" t="s">
        <v>29</v>
      </c>
      <c r="D38" s="2"/>
      <c r="E38" s="2" t="s">
        <v>30</v>
      </c>
      <c r="F38" s="2" t="s">
        <v>31</v>
      </c>
      <c r="G38" s="2" t="s">
        <v>28</v>
      </c>
      <c r="H38" s="2">
        <v>30</v>
      </c>
      <c r="I38" s="2">
        <v>30</v>
      </c>
      <c r="J38" s="2">
        <f t="shared" si="0"/>
        <v>0</v>
      </c>
      <c r="K38" s="2" t="s">
        <v>149</v>
      </c>
      <c r="L38" s="2" t="s">
        <v>149</v>
      </c>
      <c r="M38" s="2" t="s">
        <v>150</v>
      </c>
      <c r="N38" s="2"/>
      <c r="O38" s="2"/>
      <c r="P38" s="2"/>
      <c r="Q38" s="2"/>
      <c r="R38">
        <v>1</v>
      </c>
    </row>
    <row r="40" spans="1:26" x14ac:dyDescent="0.25">
      <c r="H40">
        <f>SUBTOTAL(9,H3:H39)</f>
        <v>30075</v>
      </c>
      <c r="I40">
        <f t="shared" ref="I40:R40" si="1">SUBTOTAL(9,I3:I39)</f>
        <v>890</v>
      </c>
      <c r="J40">
        <f t="shared" si="1"/>
        <v>29185</v>
      </c>
      <c r="K40">
        <f t="shared" si="1"/>
        <v>0</v>
      </c>
      <c r="L40">
        <f t="shared" si="1"/>
        <v>0</v>
      </c>
      <c r="M40">
        <f t="shared" si="1"/>
        <v>0</v>
      </c>
      <c r="N40">
        <f t="shared" si="1"/>
        <v>0</v>
      </c>
      <c r="O40">
        <f t="shared" si="1"/>
        <v>0</v>
      </c>
      <c r="P40">
        <f t="shared" si="1"/>
        <v>0</v>
      </c>
      <c r="Q40">
        <f t="shared" si="1"/>
        <v>0</v>
      </c>
      <c r="R40">
        <f t="shared" si="1"/>
        <v>36</v>
      </c>
    </row>
    <row r="42" spans="1:26" x14ac:dyDescent="0.25">
      <c r="A42" s="2" t="s">
        <v>18</v>
      </c>
      <c r="B42" s="2"/>
      <c r="C42" s="34" t="s">
        <v>155</v>
      </c>
      <c r="D42" s="35"/>
      <c r="E42" s="4" t="s">
        <v>156</v>
      </c>
      <c r="F42" s="5"/>
      <c r="G42" s="5"/>
      <c r="H42" s="5"/>
      <c r="I42" s="6"/>
      <c r="J42" s="5"/>
      <c r="K42" s="5"/>
      <c r="L42" s="2" t="s">
        <v>149</v>
      </c>
      <c r="M42" s="7" t="s">
        <v>157</v>
      </c>
      <c r="N42" s="7" t="s">
        <v>156</v>
      </c>
      <c r="O42" s="5"/>
      <c r="P42" s="5"/>
      <c r="Q42" s="5"/>
      <c r="R42" s="5"/>
      <c r="S42" s="5"/>
      <c r="T42" s="5"/>
      <c r="U42" s="5"/>
      <c r="V42" s="5"/>
      <c r="W42" s="6"/>
      <c r="X42" s="6"/>
      <c r="Y42" s="6"/>
      <c r="Z42" s="6"/>
    </row>
    <row r="43" spans="1:26" x14ac:dyDescent="0.25">
      <c r="A43" s="2" t="s">
        <v>150</v>
      </c>
      <c r="B43" s="2" t="s">
        <v>158</v>
      </c>
      <c r="C43" s="36">
        <f>SUMIFS(H$3:H$65,$B$3:$B$65,$A42,$M$3:$M$65,$A43)</f>
        <v>30075</v>
      </c>
      <c r="D43" s="37"/>
      <c r="E43" s="8">
        <f>SUMIFS(R$3:R$65,$B$3:$B$65,$A42,$M$3:$M$65,$A43)</f>
        <v>36</v>
      </c>
      <c r="F43" s="9" t="s">
        <v>159</v>
      </c>
      <c r="G43" s="5"/>
      <c r="H43" s="5"/>
      <c r="I43" s="6"/>
      <c r="J43" s="5"/>
      <c r="K43" s="5"/>
      <c r="L43" s="10" t="s">
        <v>160</v>
      </c>
      <c r="M43" s="11">
        <f>SUMIFS(H$3:H$65,$K$3:$K$65,$L42)</f>
        <v>14642</v>
      </c>
      <c r="N43" s="11">
        <f>SUMIFS($R$3:$R$65,$K$3:$K$65,$L42)</f>
        <v>14</v>
      </c>
      <c r="O43" s="5"/>
      <c r="P43" s="5"/>
      <c r="Q43" s="5"/>
      <c r="R43" s="5"/>
      <c r="S43" s="5"/>
      <c r="T43" s="5"/>
      <c r="U43" s="5"/>
      <c r="V43" s="5"/>
      <c r="W43" s="6"/>
      <c r="X43" s="6"/>
      <c r="Y43" s="6"/>
      <c r="Z43" s="6"/>
    </row>
    <row r="44" spans="1:26" x14ac:dyDescent="0.25">
      <c r="A44" s="5"/>
      <c r="B44" s="12" t="s">
        <v>161</v>
      </c>
      <c r="C44" s="38">
        <f>-SUMIFS(I$3:I$65,$B$3:$B$65,$A42,$M$3:$M$65,$A43)</f>
        <v>-890</v>
      </c>
      <c r="D44" s="39"/>
      <c r="E44" s="13">
        <f>SUMIFS(R$3:R$65,$B$3:$B$65,$A42,$M$3:$M$65,$A43)</f>
        <v>36</v>
      </c>
      <c r="F44" s="5"/>
      <c r="G44" s="5"/>
      <c r="H44" s="5"/>
      <c r="I44" s="5"/>
      <c r="J44" s="5"/>
      <c r="K44" s="5"/>
      <c r="L44" s="10" t="s">
        <v>162</v>
      </c>
      <c r="M44" s="11">
        <v>-260</v>
      </c>
      <c r="N44" s="14"/>
      <c r="O44" s="5"/>
      <c r="P44" s="5"/>
      <c r="Q44" s="5"/>
      <c r="R44" s="5"/>
      <c r="S44" s="5"/>
      <c r="T44" s="5"/>
      <c r="U44" s="5"/>
      <c r="V44" s="5"/>
      <c r="W44" s="6"/>
      <c r="X44" s="6"/>
      <c r="Y44" s="6"/>
      <c r="Z44" s="6"/>
    </row>
    <row r="45" spans="1:26" x14ac:dyDescent="0.25">
      <c r="A45" s="5"/>
      <c r="B45" s="10" t="s">
        <v>163</v>
      </c>
      <c r="C45" s="40">
        <f>-SUMIFS(J$3:J$41,$B$3:$B$41,$A42,$Q$3:$Q$41,"xx",$O$3:$O$41,"x")</f>
        <v>0</v>
      </c>
      <c r="D45" s="41"/>
      <c r="E45" s="15">
        <f>SUMIFS($R$3:$R$78,$B$3:$B$78,$A42,$Q$3:$Q$78,"xx",$O$3:$O$78,"x")</f>
        <v>0</v>
      </c>
      <c r="F45" s="5"/>
      <c r="G45" s="6"/>
      <c r="H45" s="5"/>
      <c r="I45" s="5"/>
      <c r="J45" s="5"/>
      <c r="K45" s="5"/>
      <c r="L45" s="16" t="s">
        <v>164</v>
      </c>
      <c r="M45" s="17">
        <v>-70</v>
      </c>
      <c r="N45" s="14"/>
      <c r="O45" s="5"/>
      <c r="P45" s="5"/>
      <c r="Q45" s="5"/>
      <c r="R45" s="5"/>
      <c r="S45" s="5"/>
      <c r="T45" s="5"/>
      <c r="U45" s="5"/>
      <c r="V45" s="5"/>
      <c r="W45" s="6"/>
      <c r="X45" s="6"/>
      <c r="Y45" s="6"/>
      <c r="Z45" s="6"/>
    </row>
    <row r="46" spans="1:26" x14ac:dyDescent="0.25">
      <c r="A46" s="5"/>
      <c r="B46" s="18" t="s">
        <v>165</v>
      </c>
      <c r="C46" s="42">
        <f>SUBTOTAL(9,C42:C45)</f>
        <v>29185</v>
      </c>
      <c r="D46" s="43"/>
      <c r="E46" s="19">
        <f>E43</f>
        <v>36</v>
      </c>
      <c r="F46" s="5"/>
      <c r="G46" s="5"/>
      <c r="H46" s="5"/>
      <c r="I46" s="5"/>
      <c r="J46" s="5"/>
      <c r="K46" s="5"/>
      <c r="L46" s="20" t="s">
        <v>166</v>
      </c>
      <c r="M46" s="21"/>
      <c r="N46" s="21"/>
      <c r="O46" s="5"/>
      <c r="P46" s="5"/>
      <c r="Q46" s="5"/>
      <c r="R46" s="5"/>
      <c r="S46" s="5"/>
      <c r="T46" s="5"/>
      <c r="U46" s="5"/>
      <c r="V46" s="5"/>
      <c r="W46" s="6"/>
      <c r="X46" s="6"/>
      <c r="Y46" s="6"/>
      <c r="Z46" s="6"/>
    </row>
    <row r="47" spans="1:26" x14ac:dyDescent="0.25">
      <c r="A47" s="5"/>
      <c r="B47" s="22" t="s">
        <v>167</v>
      </c>
      <c r="C47" s="44"/>
      <c r="D47" s="45"/>
      <c r="E47" s="14"/>
      <c r="F47" s="5"/>
      <c r="G47" s="5"/>
      <c r="J47" s="5"/>
      <c r="K47" s="5"/>
      <c r="L47" s="23" t="s">
        <v>168</v>
      </c>
      <c r="M47" s="24"/>
      <c r="N47" s="24"/>
      <c r="O47" s="5"/>
      <c r="P47" s="5"/>
      <c r="Q47" s="5"/>
      <c r="R47" s="5"/>
      <c r="S47" s="5"/>
      <c r="T47" s="5"/>
      <c r="U47" s="5"/>
      <c r="V47" s="5"/>
      <c r="W47" s="6"/>
      <c r="X47" s="6"/>
      <c r="Y47" s="6"/>
      <c r="Z47" s="6"/>
    </row>
    <row r="48" spans="1:26" x14ac:dyDescent="0.25">
      <c r="A48" s="5"/>
      <c r="B48" s="25" t="s">
        <v>169</v>
      </c>
      <c r="C48" s="30"/>
      <c r="D48" s="31"/>
      <c r="E48" s="26"/>
      <c r="F48" s="5"/>
      <c r="G48" s="5"/>
      <c r="J48" s="5"/>
      <c r="K48" s="5"/>
      <c r="L48" s="27"/>
      <c r="M48" s="28">
        <f>SUBTOTAL(9,M43:M47)</f>
        <v>14312</v>
      </c>
      <c r="N48" s="28">
        <f t="shared" ref="N48" si="2">SUBTOTAL(9,N43:N47)</f>
        <v>14</v>
      </c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5"/>
      <c r="B49" s="10" t="s">
        <v>170</v>
      </c>
      <c r="C49" s="32">
        <f>C46+C47+C48</f>
        <v>29185</v>
      </c>
      <c r="D49" s="33"/>
      <c r="E49" s="29" t="s">
        <v>171</v>
      </c>
      <c r="F49" s="5"/>
      <c r="G49" s="5"/>
      <c r="J49" s="5"/>
      <c r="K49" s="5"/>
      <c r="L49" s="26"/>
      <c r="M49" s="26"/>
      <c r="N49" s="26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</sheetData>
  <autoFilter ref="A2:Q38" xr:uid="{3232FB20-1559-475A-AACF-B3C808504D81}">
    <sortState xmlns:xlrd2="http://schemas.microsoft.com/office/spreadsheetml/2017/richdata2" ref="A4:Q38">
      <sortCondition ref="D2:D38"/>
    </sortState>
  </autoFilter>
  <mergeCells count="8">
    <mergeCell ref="C48:D48"/>
    <mergeCell ref="C49:D49"/>
    <mergeCell ref="C42:D42"/>
    <mergeCell ref="C43:D43"/>
    <mergeCell ref="C44:D44"/>
    <mergeCell ref="C45:D45"/>
    <mergeCell ref="C46:D46"/>
    <mergeCell ref="C47:D4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Sei Pham</cp:lastModifiedBy>
  <dcterms:created xsi:type="dcterms:W3CDTF">2026-02-28T09:04:23Z</dcterms:created>
  <dcterms:modified xsi:type="dcterms:W3CDTF">2026-03-08T17:37:22Z</dcterms:modified>
</cp:coreProperties>
</file>