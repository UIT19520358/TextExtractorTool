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Feb\"/>
    </mc:Choice>
  </mc:AlternateContent>
  <xr:revisionPtr revIDLastSave="0" documentId="13_ncr:1_{170AD5A4-B15D-49BB-AA88-10D184B767AF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27-02" sheetId="6" r:id="rId6"/>
  </x:sheets>
  <x:definedNames>
    <x:definedName name="_xlnm._FilterDatabase" localSheetId="0" hidden="1">'27-02'!$A$2:$P$38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3" i="6"/>
  <x:c r="I4" i="6"/>
  <x:c r="I5" i="6"/>
  <x:c r="I6" i="6"/>
  <x:c r="I7" i="6"/>
  <x:c r="I8" i="6"/>
  <x:c r="I9" i="6"/>
  <x:c r="I10" i="6"/>
  <x:c r="I11" i="6"/>
  <x:c r="I12" i="6"/>
  <x:c r="I13" i="6"/>
  <x:c r="I14" i="6"/>
  <x:c r="I15" i="6"/>
  <x:c r="I16" i="6"/>
  <x:c r="I17" i="6"/>
  <x:c r="I18" i="6"/>
  <x:c r="I19" i="6"/>
  <x:c r="I20" i="6"/>
  <x:c r="I21" i="6"/>
  <x:c r="I22" i="6"/>
  <x:c r="I23" i="6"/>
  <x:c r="I24" i="6"/>
  <x:c r="I25" i="6"/>
  <x:c r="I26" i="6"/>
  <x:c r="I27" i="6"/>
  <x:c r="I28" i="6"/>
  <x:c r="I29" i="6"/>
  <x:c r="I30" i="6"/>
  <x:c r="I31" i="6"/>
  <x:c r="I32" i="6"/>
  <x:c r="I33" i="6"/>
  <x:c r="I34" i="6"/>
  <x:c r="I35" i="6"/>
  <x:c r="I36" i="6"/>
  <x:c r="I37" i="6"/>
  <x:c r="I38" i="6"/>
  <x:c r="D40" i="6"/>
  <x:c r="G40" i="6"/>
  <x:c r="H40" i="6"/>
  <x:c r="I40" i="6"/>
  <x:c r="J40" i="6"/>
  <x:c r="K40" i="6"/>
  <x:c r="L40" i="6"/>
  <x:c r="M40" i="6"/>
  <x:c r="N40" i="6"/>
  <x:c r="O40" i="6"/>
  <x:c r="P40" i="6"/>
  <x:c r="Q40" i="6"/>
  <x:c r="R40" i="6"/>
  <x:c r="S40" i="6"/>
  <x:c r="C43" i="6"/>
  <x:c r="E43" i="6"/>
  <x:c r="K43" i="6"/>
  <x:c r="L43" i="6"/>
  <x:c r="C44" i="6"/>
  <x:c r="C46" i="6"/>
  <x:c r="E46" i="6"/>
  <x:c r="K48" i="6"/>
  <x:c r="L48" i="6"/>
  <x:c r="C49" i="6"/>
  <x:c r="K51" i="6"/>
  <x:c r="L51" i="6"/>
  <x:c r="C52" i="6"/>
  <x:c r="E52" i="6"/>
  <x:c r="C53" i="6"/>
  <x:c r="C55" i="6"/>
  <x:c r="E55" i="6"/>
  <x:c r="K56" i="6"/>
  <x:c r="L56" i="6"/>
  <x:c r="C58" i="6"/>
  <x:c r="K59" i="6"/>
  <x:c r="L59" i="6"/>
  <x:c r="K64" i="6"/>
  <x:c r="L64" i="6"/>
  <x:c r="K67" i="6"/>
  <x:c r="L67" i="6"/>
  <x:c r="K72" i="6"/>
  <x:c r="L72" i="6"/>
</x:calcChain>
</file>

<file path=xl/sharedStrings.xml><?xml version="1.0" encoding="utf-8"?>
<x:sst xmlns:x="http://schemas.openxmlformats.org/spreadsheetml/2006/main">
  <x:si>
    <x:t>Tình trạng TT</x:t>
  </x:si>
  <x:si>
    <x:t>SHOP</x:t>
  </x:si>
  <x:si>
    <x:t>TÊN KH</x:t>
  </x:si>
  <x:si>
    <x:t>MÃ</x:t>
  </x:si>
  <x:si>
    <x:t>ĐỊA CHỈ</x:t>
  </x:si>
  <x:si>
    <x:t>QUẬN</x:t>
  </x:si>
  <x:si>
    <x:t>TIỀN THU</x:t>
  </x:si>
  <x:si>
    <x:t>TIỀN SHIP</x:t>
  </x:si>
  <x:si>
    <x:t>TIỀN HÀNG</x:t>
  </x:si>
  <x:si>
    <x:t>NGƯỜI ĐI</x:t>
  </x:si>
  <x:si>
    <x:t>NGƯỜI LẤY</x:t>
  </x:si>
  <x:si>
    <x:t>NGÀY LẤY</x:t>
  </x:si>
  <x:si>
    <x:t>GHI CHÚ</x:t>
  </x:si>
  <x:si>
    <x:t>ỨNG TIỀN</x:t>
  </x:si>
  <x:si>
    <x:t>HÀNG TỒN</x:t>
  </x:si>
  <x:si>
    <x:t>FAIL</x:t>
  </x:si>
  <x:si>
    <x:t>Column1</x:t>
  </x:si>
  <x:si>
    <x:t>Column2</x:t>
  </x:si>
  <x:si>
    <x:t>Column3</x:t>
  </x:si>
  <x:si>
    <x:t>ĐOÀN NGÂN CHÂU</x:t>
  </x:si>
  <x:si>
    <x:t>Phú (fb Anh Truong)</x:t>
  </x:si>
  <x:si>
    <x:t>HD132474</x:t>
  </x:si>
  <x:si>
    <x:t>cổng số 2 (chốt bảo vệ giữa lô a và lô b) chung cư khang gia, đường 45, an hội tây</x:t>
  </x:si>
  <x:si>
    <x:t>go vap</x:t>
  </x:si>
  <x:si>
    <x:t>c.cuong</x:t>
  </x:si>
  <x:si>
    <x:t>27-02-2026</x:t>
  </x:si>
  <x:si>
    <x:t>Tuyết Nhi</x:t>
  </x:si>
  <x:si>
    <x:t>HD132665</x:t>
  </x:si>
  <x:si>
    <x:t>Block d2, chung cư sài gòn riverside (số 4 đào trí, phú thuận, q</x:t>
  </x:si>
  <x:si>
    <x:t>An Tam</x:t>
  </x:si>
  <x:si>
    <x:t>Hà Nguyễn</x:t>
  </x:si>
  <x:si>
    <x:t>HD132670</x:t>
  </x:si>
  <x:si>
    <x:t>487/46/4 Võ Thị Nhờ, Tân Thuận Đông</x:t>
  </x:si>
  <x:si>
    <x:t>Quỳnh Nhị</x:t>
  </x:si>
  <x:si>
    <x:t>HD132657</x:t>
  </x:si>
  <x:si>
    <x:t>180/17 QL1A Tân Phú TP</x:t>
  </x:si>
  <x:si>
    <x:t>tan phu</x:t>
  </x:si>
  <x:si>
    <x:t>C30ST (inst-sth3a)</x:t>
  </x:si>
  <x:si>
    <x:t>HD132516</x:t>
  </x:si>
  <x:si>
    <x:t>270B Đường Lý Thường Kiệt, Khu Phố 1 Phường 6</x:t>
  </x:si>
  <x:si>
    <x:t>tan binh</x:t>
  </x:si>
  <x:si>
    <x:t>c.hieu</x:t>
  </x:si>
  <x:si>
    <x:t>Trần Thị Minh Thuy</x:t>
  </x:si>
  <x:si>
    <x:t>HD132455</x:t>
  </x:si>
  <x:si>
    <x:t>683a Âu cơ</x:t>
  </x:si>
  <x:si>
    <x:t>Thanh Thúy</x:t>
  </x:si>
  <x:si>
    <x:t>HD132797</x:t>
  </x:si>
  <x:si>
    <x:t>270/20/2A Nguyễn Trọng Tuyển phường 8</x:t>
  </x:si>
  <x:si>
    <x:t>phu nhuan</x:t>
  </x:si>
  <x:si>
    <x:t>Nhi Nhi</x:t>
  </x:si>
  <x:si>
    <x:t>HD132833</x:t>
  </x:si>
  <x:si>
    <x:t>174 tôn đàn</x:t>
  </x:si>
  <x:si>
    <x:t>Nguyễn Ngọc Lan Anh</x:t>
  </x:si>
  <x:si>
    <x:t>HD132605</x:t>
  </x:si>
  <x:si>
    <x:t>82/92 lý chính thắng</x:t>
  </x:si>
  <x:si>
    <x:t>Thanh Thanh Phạm</x:t>
  </x:si>
  <x:si>
    <x:t>HD132848</x:t>
  </x:si>
  <x:si>
    <x:t>200 lệ lại bến thành</x:t>
  </x:si>
  <x:si>
    <x:t>Cherry Nguyễn</x:t>
  </x:si>
  <x:si>
    <x:t>HD132785</x:t>
  </x:si>
  <x:si>
    <x:t>66 hùng vương p1</x:t>
  </x:si>
  <x:si>
    <x:t>Minh Thư</x:t>
  </x:si>
  <x:si>
    <x:t>HD132809</x:t>
  </x:si>
  <x:si>
    <x:t>6/24 tân chánh hiệp 36, p trung mỹ tây</x:t>
  </x:si>
  <x:si>
    <x:t>Ngọc Ánh</x:t>
  </x:si>
  <x:si>
    <x:t>HD132539</x:t>
  </x:si>
  <x:si>
    <x:t>720a điện biên phủ phường 22</x:t>
  </x:si>
  <x:si>
    <x:t>binh thanh</x:t>
  </x:si>
  <x:si>
    <x:t>Nguyễn Kim Dung</x:t>
  </x:si>
  <x:si>
    <x:t>HD132850</x:t>
  </x:si>
  <x:si>
    <x:t>40/20 trần văn quang p10</x:t>
  </x:si>
  <x:si>
    <x:t>Bing Bing</x:t>
  </x:si>
  <x:si>
    <x:t>HD132820</x:t>
  </x:si>
  <x:si>
    <x:t>Landmark 5</x:t>
  </x:si>
  <x:si>
    <x:t>Tuyết Nhung ( Vy Vy - VY VY LE YUAN)</x:t>
  </x:si>
  <x:si>
    <x:t>HD132572</x:t>
  </x:si>
  <x:si>
    <x:t>66 đường số 17, phường 10</x:t>
  </x:si>
  <x:si>
    <x:t>Phương Thảo</x:t>
  </x:si>
  <x:si>
    <x:t>HD132844</x:t>
  </x:si>
  <x:si>
    <x:t>3/51/4 thành thái p14</x:t>
  </x:si>
  <x:si>
    <x:t>HD132813</x:t>
  </x:si>
  <x:si>
    <x:t>cổng số 2 (chốt bảo vệ giữa lô a và lộ b) chung cư khang gia, đường 45, an hội tây</x:t>
  </x:si>
  <x:si>
    <x:t>Kim Anh Phạm</x:t>
  </x:si>
  <x:si>
    <x:t>HD132501</x:t>
  </x:si>
  <x:si>
    <x:t>16 cư xã bình minh, đường dương bá trạc, phường 1</x:t>
  </x:si>
  <x:si>
    <x:t>Huệ Nghi fb Violet Đỗ</x:t>
  </x:si>
  <x:si>
    <x:t>HD132646</x:t>
  </x:si>
  <x:si>
    <x:t>115 / 52a trần Đình su, P Nguyễn cư trinh</x:t>
  </x:si>
  <x:si>
    <x:t>Trần Thị Cẩm Thuỷ</x:t>
  </x:si>
  <x:si>
    <x:t>HD132461</x:t>
  </x:si>
  <x:si>
    <x:t>5b phổ quang p2 Tân bình sảnh block D gửi D8.07</x:t>
  </x:si>
  <x:si>
    <x:t>Nhận hộ fb Nguyễn Hà</x:t>
  </x:si>
  <x:si>
    <x:t>HD132789</x:t>
  </x:si>
  <x:si>
    <x:t>433/11/2 Lê Đức Thọ, Phường 17</x:t>
  </x:si>
  <x:si>
    <x:t>Nguyễn Lê Long Châu</x:t>
  </x:si>
  <x:si>
    <x:t>HD132872</x:t>
  </x:si>
  <x:si>
    <x:t>123/49/4 phan văn hớn p.tân thời nhất</x:t>
  </x:si>
  <x:si>
    <x:t>Loan Nguyễn</x:t>
  </x:si>
  <x:si>
    <x:t>HD132817</x:t>
  </x:si>
  <x:si>
    <x:t>74 Trường Sa, P.17</x:t>
  </x:si>
  <x:si>
    <x:t>Nguyễn Thị Trà My</x:t>
  </x:si>
  <x:si>
    <x:t>HD132853</x:t>
  </x:si>
  <x:si>
    <x:t>325/9 bùi minh trực phường 6</x:t>
  </x:si>
  <x:si>
    <x:t>Tuyet Nhung Nguyên</x:t>
  </x:si>
  <x:si>
    <x:t>HD132679</x:t>
  </x:si>
  <x:si>
    <x:t>35 Duy Tân phường 8</x:t>
  </x:si>
  <x:si>
    <x:t>Hiền Hiền</x:t>
  </x:si>
  <x:si>
    <x:t>HD132512</x:t>
  </x:si>
  <x:si>
    <x:t>163/25/42 Tô Hiến Thành p13</x:t>
  </x:si>
  <x:si>
    <x:t>Nguyễn Huỳnh Cẩm Tú</x:t>
  </x:si>
  <x:si>
    <x:t>HD132836</x:t>
  </x:si>
  <x:si>
    <x:t>Chung cư park 1, Vinhomes Central Park, Phường 22, Quận Bh Thạnh</x:t>
  </x:si>
  <x:si>
    <x:t>bh thanh</x:t>
  </x:si>
  <x:si>
    <x:t>Quỳnh Giao Ngọc Phan</x:t>
  </x:si>
  <x:si>
    <x:t>HD132847</x:t>
  </x:si>
  <x:si>
    <x:t>208 Nguyễn Hữu Cảnh (22 Bình Thạnh (chung cư Vinhomes Central Park toà Park 6B)</x:t>
  </x:si>
  <x:si>
    <x:t>Hiền Nguyễn</x:t>
  </x:si>
  <x:si>
    <x:t>HD132673</x:t>
  </x:si>
  <x:si>
    <x:t>51 bàu cát 1</x:t>
  </x:si>
  <x:si>
    <x:t>lindsiepham</x:t>
  </x:si>
  <x:si>
    <x:t>HD132489</x:t>
  </x:si>
  <x:si>
    <x:t>cổng 3, sky center 5b phổ quang p2</x:t>
  </x:si>
  <x:si>
    <x:t>hàng sỉ</x:t>
  </x:si>
  <x:si>
    <x:t>Jess-9244</x:t>
  </x:si>
  <x:si>
    <x:t>275/14B1 Đặng</x:t>
  </x:si>
  <x:si>
    <x:t>27-02-2026.</x:t>
  </x:si>
  <x:si>
    <x:t>SƯ ANH</x:t>
  </x:si>
  <x:si>
    <x:t>22/40 Yên Thế</x:t>
  </x:si>
  <x:si>
    <x:t>THƯƠNG 1994</x:t>
  </x:si>
  <x:si>
    <x:t>Tòa S501, Vinhome Grand Park</x:t>
  </x:si>
  <x:si>
    <x:t>thu đuc</x:t>
  </x:si>
  <x:si>
    <x:t>a.quyen</x:t>
  </x:si>
  <x:si>
    <x:t>jenny bouti</x:t>
  </x:si>
  <x:si>
    <x:t>401 Quang trung</x:t>
  </x:si>
  <x:si>
    <x:t>Mr Thế</x:t>
  </x:si>
  <x:si>
    <x:t>27/5 Quách Văn Tuấn, F12</x:t>
  </x:si>
  <x:si>
    <x:t>Tiền</x:t>
  </x:si>
  <x:si>
    <x:t>Số đơn</x:t>
  </x:si>
  <x:si>
    <x:t>Tiền Thu</x:t>
  </x:si>
  <x:si>
    <x:t>cod</x:t>
  </x:si>
  <x:si>
    <x:t>TỔNG ĐƠN NHẬN</x:t>
  </x:si>
  <x:si>
    <x:t>Trừ Tiền Ship</x:t>
  </x:si>
  <x:si>
    <x:t>tiền ship</x:t>
  </x:si>
  <x:si>
    <x:t>Đơn trả &amp; c.khoản</x:t>
  </x:si>
  <x:si>
    <x:t>tiền lấy</x:t>
  </x:si>
  <x:si>
    <x:t>Tiền Hàng Hcm</x:t>
  </x:si>
  <x:si>
    <x:t>đơn trả</x:t>
  </x:si>
  <x:si>
    <x:t>đơn đơn</x:t>
  </x:si>
  <x:si>
    <x:t>đơn cũ ck</x:t>
  </x:si>
  <x:si>
    <x:t>nợ cũ</x:t>
  </x:si>
  <x:si>
    <x:t>THANH TOÁN</x:t>
  </x:si>
  <x:si>
    <x:t>CK Đủ 100%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</x:si>
</x:sst>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#,##0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11"/>
      <x:color rgb="FFFF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  <x:fill>
      <x:patternFill patternType="solid">
        <x:fgColor rgb="FFB0C4DE"/>
      </x:patternFill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00B050"/>
        <x:bgColor indexed="64"/>
      </x:patternFill>
    </x:fill>
  </x:fills>
  <x:borders count="10">
    <x:border>
      <x:left/>
      <x:right/>
      <x:top/>
      <x:bottom/>
      <x:diagonal/>
    </x:border>
    <x:border>
      <x:left style="medium">
        <x:color rgb="FF4682B4"/>
      </x:left>
      <x:right/>
      <x:top style="medium">
        <x:color rgb="FF4682B4"/>
      </x:top>
      <x:bottom style="thin">
        <x:color rgb="FF000000"/>
      </x:bottom>
      <x:diagonal/>
    </x:border>
    <x:border>
      <x:left/>
      <x:right/>
      <x:top style="medium">
        <x:color rgb="FF4682B4"/>
      </x:top>
      <x:bottom style="thin">
        <x:color rgb="FF000000"/>
      </x:bottom>
      <x:diagonal/>
    </x:border>
    <x:border>
      <x:left/>
      <x:right style="medium">
        <x:color rgb="FF4682B4"/>
      </x:right>
      <x:top style="medium">
        <x:color rgb="FF4682B4"/>
      </x:top>
      <x:bottom style="thin">
        <x:color rgb="FF000000"/>
      </x:bottom>
      <x:diagonal/>
    </x:border>
    <x:border>
      <x:left style="medium">
        <x:color rgb="FF4682B4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medium">
        <x:color rgb="FF4682B4"/>
      </x:right>
      <x:top/>
      <x:bottom style="thin">
        <x:color rgb="FF000000"/>
      </x:bottom>
      <x:diagonal/>
    </x:border>
    <x:border>
      <x:left style="medium">
        <x:color rgb="FF4682B4"/>
      </x:left>
      <x:right/>
      <x:top/>
      <x:bottom style="thin">
        <x:color rgb="FF4682B4"/>
      </x:bottom>
      <x:diagonal/>
    </x:border>
    <x:border>
      <x:left/>
      <x:right/>
      <x:top/>
      <x:bottom style="thin">
        <x:color rgb="FF4682B4"/>
      </x:bottom>
      <x:diagonal/>
    </x:border>
    <x:border>
      <x:left/>
      <x:right style="medium">
        <x:color rgb="FF4682B4"/>
      </x:right>
      <x:top/>
      <x:bottom style="thin">
        <x:color rgb="FF4682B4"/>
      </x:bottom>
      <x:diagonal/>
    </x:border>
  </x:borders>
  <x:cellStyleXfs count="9">
    <x:xf numFmtId="0" fontId="0" fillId="0" borderId="0" applyBorder="0"/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</x:cellStyleXfs>
  <x:cellXfs count="32">
    <x:xf numFmtId="0" fontId="0" fillId="0" borderId="0" xfId="0"/>
    <x:xf numFmtId="0" fontId="1" fillId="2" borderId="0" xfId="0" applyFont="1" applyFill="1"/>
    <x:xf numFmtId="3" fontId="0" fillId="0" borderId="0" xfId="0" applyNumberFormat="1"/>
    <x:xf numFmtId="3" fontId="1" fillId="3" borderId="0" xfId="0" applyNumberFormat="1" applyFont="1" applyFill="1"/>
    <x:xf numFmtId="0" fontId="1" fillId="4" borderId="1" xfId="0" applyFont="1" applyFill="1" applyBorder="1"/>
    <x:xf numFmtId="0" fontId="1" fillId="4" borderId="2" xfId="0" applyFont="1" applyFill="1" applyBorder="1"/>
    <x:xf numFmtId="0" fontId="1" fillId="4" borderId="3" xfId="0" applyFont="1" applyFill="1" applyBorder="1"/>
    <x:xf numFmtId="0" fontId="1" fillId="4" borderId="0" xfId="0" applyFont="1" applyFill="1"/>
    <x:xf numFmtId="0" fontId="0" fillId="0" borderId="4" xfId="0" applyBorder="1"/>
    <x:xf numFmtId="0" fontId="0" fillId="0" borderId="5" xfId="0" applyBorder="1"/>
    <x:xf numFmtId="3" fontId="0" fillId="0" borderId="5" xfId="0" applyNumberFormat="1" applyBorder="1"/>
    <x:xf numFmtId="0" fontId="0" fillId="0" borderId="6" xfId="0" applyBorder="1"/>
    <x:xf numFmtId="0" fontId="2" fillId="0" borderId="5" xfId="0" applyFont="1" applyBorder="1"/>
    <x:xf numFmtId="0" fontId="1" fillId="0" borderId="5" xfId="0" applyFont="1" applyBorder="1"/>
    <x:xf numFmtId="3" fontId="1" fillId="0" borderId="5" xfId="0" applyNumberFormat="1" applyFont="1" applyBorder="1"/>
    <x:xf numFmtId="0" fontId="1" fillId="0" borderId="6" xfId="0" applyFont="1" applyBorder="1"/>
    <x:xf numFmtId="0" fontId="2" fillId="0" borderId="0" xfId="0" applyFont="1"/>
    <x:xf numFmtId="3" fontId="1" fillId="5" borderId="0" xfId="0" applyNumberFormat="1" applyFont="1" applyFill="1"/>
    <x:xf numFmtId="0" fontId="1" fillId="5" borderId="0" xfId="0" applyFont="1" applyFill="1"/>
    <x:xf numFmtId="0" fontId="1" fillId="6" borderId="7" xfId="0" applyFont="1" applyFill="1" applyBorder="1"/>
    <x:xf numFmtId="0" fontId="1" fillId="6" borderId="8" xfId="0" applyFont="1" applyFill="1" applyBorder="1"/>
    <x:xf numFmtId="3" fontId="1" fillId="6" borderId="8" xfId="0" applyNumberFormat="1" applyFont="1" applyFill="1" applyBorder="1"/>
    <x:xf numFmtId="0" fontId="1" fillId="6" borderId="9" xfId="0" applyFont="1" applyFill="1" applyBorder="1"/>
    <x:xf numFmtId="0" fontId="0" fillId="7" borderId="0" xfId="0" applyFill="1"/>
    <x:xf numFmtId="3" fontId="0" fillId="7" borderId="0" xfId="0" applyNumberFormat="1" applyFill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8"/>
  <x:sheetViews>
    <x:sheetView workbookViewId="0"/>
  </x:sheetViews>
  <x:sheetFormatPr defaultRowHeight="15"/>
  <x:cols>
    <x:col min="1" max="1" width="12.710625" style="0" customWidth="1"/>
    <x:col min="2" max="2" width="17.710625" style="0" customWidth="1"/>
    <x:col min="3" max="3" width="33.996339" style="0" customWidth="1"/>
    <x:col min="4" max="4" width="9.853482" style="0" customWidth="1"/>
    <x:col min="5" max="5" width="76.567768" style="0" customWidth="1"/>
    <x:col min="6" max="6" width="10.710625" style="0" customWidth="1"/>
    <x:col min="7" max="7" width="9.139196" style="0" customWidth="1"/>
    <x:col min="8" max="8" width="9.567768" style="0" customWidth="1"/>
    <x:col min="9" max="9" width="10.567768" style="0" customWidth="1"/>
    <x:col min="10" max="10" width="9.710625" style="0" customWidth="1"/>
    <x:col min="11" max="11" width="10.853482" style="0" customWidth="1"/>
    <x:col min="12" max="12" width="10.996339" style="0" customWidth="1"/>
    <x:col min="13" max="13" width="8.567768" style="0" customWidth="1"/>
    <x:col min="14" max="14" width="9.710625" style="0" customWidth="1"/>
    <x:col min="15" max="15" width="10.424911" style="0" customWidth="1"/>
    <x:col min="16" max="16" width="4.567768" style="0" customWidth="1"/>
    <x:col min="17" max="19" width="8.996339" style="0" customWidth="1"/>
  </x:cols>
  <x:sheetData>
    <x:row r="2" spans="1:19">
      <x:c r="A2" s="25" t="s">
        <x:v>0</x:v>
      </x:c>
      <x:c r="B2" s="25" t="s">
        <x:v>1</x:v>
      </x:c>
      <x:c r="C2" s="25" t="s">
        <x:v>2</x:v>
      </x:c>
      <x:c r="D2" s="25" t="s">
        <x:v>3</x:v>
      </x:c>
      <x:c r="E2" s="25" t="s">
        <x:v>4</x:v>
      </x:c>
      <x:c r="F2" s="25" t="s">
        <x:v>5</x:v>
      </x:c>
      <x:c r="G2" s="25" t="s">
        <x:v>6</x:v>
      </x:c>
      <x:c r="H2" s="25" t="s">
        <x:v>7</x:v>
      </x:c>
      <x:c r="I2" s="25" t="s">
        <x:v>8</x:v>
      </x:c>
      <x:c r="J2" s="25" t="s">
        <x:v>9</x:v>
      </x:c>
      <x:c r="K2" s="25" t="s">
        <x:v>10</x:v>
      </x:c>
      <x:c r="L2" s="25" t="s">
        <x:v>11</x:v>
      </x:c>
      <x:c r="M2" s="25" t="s">
        <x:v>12</x:v>
      </x:c>
      <x:c r="N2" s="25" t="s">
        <x:v>13</x:v>
      </x:c>
      <x:c r="O2" s="25" t="s">
        <x:v>14</x:v>
      </x:c>
      <x:c r="P2" s="25" t="s">
        <x:v>15</x:v>
      </x:c>
      <x:c r="Q2" s="25" t="s">
        <x:v>16</x:v>
      </x:c>
      <x:c r="R2" s="25" t="s">
        <x:v>17</x:v>
      </x:c>
      <x:c r="S2" s="25" t="s">
        <x:v>18</x:v>
      </x:c>
    </x:row>
    <x:row r="3" spans="1:19"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26">
        <x:v>691</x:v>
      </x:c>
      <x:c r="H3" s="26">
        <x:v>25</x:v>
      </x:c>
      <x:c r="I3" s="26">
        <x:f>G3-H3</x:f>
      </x:c>
      <x:c r="J3" s="0" t="s">
        <x:v>24</x:v>
      </x:c>
      <x:c r="K3" s="0" t="s">
        <x:v>24</x:v>
      </x:c>
      <x:c r="L3" s="0" t="s">
        <x:v>25</x:v>
      </x:c>
    </x:row>
    <x:row r="4" spans="1:19">
      <x:c r="B4" s="0" t="s">
        <x:v>19</x:v>
      </x:c>
      <x:c r="C4" s="0" t="s">
        <x:v>26</x:v>
      </x:c>
      <x:c r="D4" s="0" t="s">
        <x:v>27</x:v>
      </x:c>
      <x:c r="E4" s="0" t="s">
        <x:v>28</x:v>
      </x:c>
      <x:c r="F4" s="26">
        <x:v>7</x:v>
      </x:c>
      <x:c r="G4" s="26">
        <x:v>1515</x:v>
      </x:c>
      <x:c r="H4" s="26">
        <x:v>30</x:v>
      </x:c>
      <x:c r="I4" s="26">
        <x:f>G4-H4</x:f>
      </x:c>
      <x:c r="J4" s="0" t="s">
        <x:v>29</x:v>
      </x:c>
      <x:c r="K4" s="0" t="s">
        <x:v>24</x:v>
      </x:c>
      <x:c r="L4" s="0" t="s">
        <x:v>25</x:v>
      </x:c>
    </x:row>
    <x:row r="5" spans="1:19">
      <x:c r="B5" s="0" t="s">
        <x:v>19</x:v>
      </x:c>
      <x:c r="C5" s="0" t="s">
        <x:v>30</x:v>
      </x:c>
      <x:c r="D5" s="0" t="s">
        <x:v>31</x:v>
      </x:c>
      <x:c r="E5" s="0" t="s">
        <x:v>32</x:v>
      </x:c>
      <x:c r="F5" s="26">
        <x:v>7</x:v>
      </x:c>
      <x:c r="G5" s="26">
        <x:v>741</x:v>
      </x:c>
      <x:c r="H5" s="26">
        <x:v>30</x:v>
      </x:c>
      <x:c r="I5" s="26">
        <x:f>G5-H5</x:f>
      </x:c>
      <x:c r="J5" s="0" t="s">
        <x:v>29</x:v>
      </x:c>
      <x:c r="K5" s="0" t="s">
        <x:v>24</x:v>
      </x:c>
      <x:c r="L5" s="0" t="s">
        <x:v>25</x:v>
      </x:c>
    </x:row>
    <x:row r="6" spans="1:19">
      <x:c r="B6" s="0" t="s">
        <x:v>19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26">
        <x:v>691</x:v>
      </x:c>
      <x:c r="H6" s="26">
        <x:v>25</x:v>
      </x:c>
      <x:c r="I6" s="26">
        <x:f>G6-H6</x:f>
      </x:c>
      <x:c r="J6" s="0" t="s">
        <x:v>29</x:v>
      </x:c>
      <x:c r="K6" s="0" t="s">
        <x:v>24</x:v>
      </x:c>
      <x:c r="L6" s="0" t="s">
        <x:v>25</x:v>
      </x:c>
    </x:row>
    <x:row r="7" spans="1:19">
      <x:c r="B7" s="0" t="s">
        <x:v>19</x:v>
      </x:c>
      <x:c r="C7" s="0" t="s">
        <x:v>37</x:v>
      </x:c>
      <x:c r="D7" s="0" t="s">
        <x:v>38</x:v>
      </x:c>
      <x:c r="E7" s="0" t="s">
        <x:v>39</x:v>
      </x:c>
      <x:c r="F7" s="0" t="s">
        <x:v>40</x:v>
      </x:c>
      <x:c r="G7" s="26">
        <x:v>547</x:v>
      </x:c>
      <x:c r="H7" s="26">
        <x:v>25</x:v>
      </x:c>
      <x:c r="I7" s="26">
        <x:f>G7-H7</x:f>
      </x:c>
      <x:c r="J7" s="0" t="s">
        <x:v>41</x:v>
      </x:c>
      <x:c r="K7" s="0" t="s">
        <x:v>24</x:v>
      </x:c>
      <x:c r="L7" s="0" t="s">
        <x:v>25</x:v>
      </x:c>
    </x:row>
    <x:row r="8" spans="1:19">
      <x:c r="B8" s="0" t="s">
        <x:v>19</x:v>
      </x:c>
      <x:c r="C8" s="0" t="s">
        <x:v>42</x:v>
      </x:c>
      <x:c r="D8" s="0" t="s">
        <x:v>43</x:v>
      </x:c>
      <x:c r="E8" s="0" t="s">
        <x:v>44</x:v>
      </x:c>
      <x:c r="F8" s="0" t="s">
        <x:v>36</x:v>
      </x:c>
      <x:c r="G8" s="26">
        <x:v>529</x:v>
      </x:c>
      <x:c r="H8" s="26">
        <x:v>25</x:v>
      </x:c>
      <x:c r="I8" s="26">
        <x:f>G8-H8</x:f>
      </x:c>
      <x:c r="J8" s="0" t="s">
        <x:v>29</x:v>
      </x:c>
      <x:c r="K8" s="0" t="s">
        <x:v>24</x:v>
      </x:c>
      <x:c r="L8" s="0" t="s">
        <x:v>25</x:v>
      </x:c>
    </x:row>
    <x:row r="9" spans="1:19">
      <x:c r="B9" s="0" t="s">
        <x:v>19</x:v>
      </x:c>
      <x:c r="C9" s="0" t="s">
        <x:v>45</x:v>
      </x:c>
      <x:c r="D9" s="0" t="s">
        <x:v>46</x:v>
      </x:c>
      <x:c r="E9" s="0" t="s">
        <x:v>47</x:v>
      </x:c>
      <x:c r="F9" s="0" t="s">
        <x:v>48</x:v>
      </x:c>
      <x:c r="G9" s="26">
        <x:v>780</x:v>
      </x:c>
      <x:c r="H9" s="26">
        <x:v>20</x:v>
      </x:c>
      <x:c r="I9" s="26">
        <x:f>G9-H9</x:f>
      </x:c>
      <x:c r="J9" s="0" t="s">
        <x:v>41</x:v>
      </x:c>
      <x:c r="K9" s="0" t="s">
        <x:v>24</x:v>
      </x:c>
      <x:c r="L9" s="0" t="s">
        <x:v>25</x:v>
      </x:c>
    </x:row>
    <x:row r="10" spans="1:19">
      <x:c r="B10" s="0" t="s">
        <x:v>19</x:v>
      </x:c>
      <x:c r="C10" s="0" t="s">
        <x:v>49</x:v>
      </x:c>
      <x:c r="D10" s="0" t="s">
        <x:v>50</x:v>
      </x:c>
      <x:c r="E10" s="0" t="s">
        <x:v>51</x:v>
      </x:c>
      <x:c r="F10" s="26">
        <x:v>4</x:v>
      </x:c>
      <x:c r="G10" s="26">
        <x:v>736</x:v>
      </x:c>
      <x:c r="H10" s="26">
        <x:v>25</x:v>
      </x:c>
      <x:c r="I10" s="26">
        <x:f>G10-H10</x:f>
      </x:c>
      <x:c r="J10" s="0" t="s">
        <x:v>41</x:v>
      </x:c>
      <x:c r="K10" s="0" t="s">
        <x:v>24</x:v>
      </x:c>
      <x:c r="L10" s="0" t="s">
        <x:v>25</x:v>
      </x:c>
    </x:row>
    <x:row r="11" spans="1:19">
      <x:c r="B11" s="0" t="s">
        <x:v>19</x:v>
      </x:c>
      <x:c r="C11" s="0" t="s">
        <x:v>52</x:v>
      </x:c>
      <x:c r="D11" s="0" t="s">
        <x:v>53</x:v>
      </x:c>
      <x:c r="E11" s="0" t="s">
        <x:v>54</x:v>
      </x:c>
      <x:c r="F11" s="26">
        <x:v>3</x:v>
      </x:c>
      <x:c r="G11" s="26">
        <x:v>646</x:v>
      </x:c>
      <x:c r="H11" s="26">
        <x:v>25</x:v>
      </x:c>
      <x:c r="I11" s="26">
        <x:f>G11-H11</x:f>
      </x:c>
      <x:c r="J11" s="0" t="s">
        <x:v>41</x:v>
      </x:c>
      <x:c r="K11" s="0" t="s">
        <x:v>24</x:v>
      </x:c>
      <x:c r="L11" s="0" t="s">
        <x:v>25</x:v>
      </x:c>
    </x:row>
    <x:row r="12" spans="1:19">
      <x:c r="B12" s="0" t="s">
        <x:v>19</x:v>
      </x:c>
      <x:c r="C12" s="0" t="s">
        <x:v>55</x:v>
      </x:c>
      <x:c r="D12" s="0" t="s">
        <x:v>56</x:v>
      </x:c>
      <x:c r="E12" s="0" t="s">
        <x:v>57</x:v>
      </x:c>
      <x:c r="F12" s="26">
        <x:v>1</x:v>
      </x:c>
      <x:c r="G12" s="26">
        <x:v>736</x:v>
      </x:c>
      <x:c r="H12" s="26">
        <x:v>25</x:v>
      </x:c>
      <x:c r="I12" s="26">
        <x:f>G12-H12</x:f>
      </x:c>
      <x:c r="J12" s="0" t="s">
        <x:v>41</x:v>
      </x:c>
      <x:c r="K12" s="0" t="s">
        <x:v>24</x:v>
      </x:c>
      <x:c r="L12" s="0" t="s">
        <x:v>25</x:v>
      </x:c>
    </x:row>
    <x:row r="13" spans="1:19">
      <x:c r="B13" s="0" t="s">
        <x:v>19</x:v>
      </x:c>
      <x:c r="C13" s="0" t="s">
        <x:v>58</x:v>
      </x:c>
      <x:c r="D13" s="0" t="s">
        <x:v>59</x:v>
      </x:c>
      <x:c r="E13" s="0" t="s">
        <x:v>60</x:v>
      </x:c>
      <x:c r="F13" s="26">
        <x:v>10</x:v>
      </x:c>
      <x:c r="G13" s="26">
        <x:v>1555</x:v>
      </x:c>
      <x:c r="H13" s="26">
        <x:v>25</x:v>
      </x:c>
      <x:c r="I13" s="26">
        <x:f>G13-H13</x:f>
      </x:c>
      <x:c r="J13" s="0" t="s">
        <x:v>41</x:v>
      </x:c>
      <x:c r="K13" s="0" t="s">
        <x:v>24</x:v>
      </x:c>
      <x:c r="L13" s="0" t="s">
        <x:v>25</x:v>
      </x:c>
    </x:row>
    <x:row r="14" spans="1:19">
      <x:c r="B14" s="0" t="s">
        <x:v>19</x:v>
      </x:c>
      <x:c r="C14" s="0" t="s">
        <x:v>61</x:v>
      </x:c>
      <x:c r="D14" s="0" t="s">
        <x:v>62</x:v>
      </x:c>
      <x:c r="E14" s="0" t="s">
        <x:v>63</x:v>
      </x:c>
      <x:c r="F14" s="26">
        <x:v>12</x:v>
      </x:c>
      <x:c r="G14" s="26">
        <x:v>1020</x:v>
      </x:c>
      <x:c r="H14" s="26">
        <x:v>30</x:v>
      </x:c>
      <x:c r="I14" s="26">
        <x:f>G14-H14</x:f>
      </x:c>
      <x:c r="J14" s="0" t="s">
        <x:v>29</x:v>
      </x:c>
      <x:c r="K14" s="0" t="s">
        <x:v>24</x:v>
      </x:c>
      <x:c r="L14" s="0" t="s">
        <x:v>25</x:v>
      </x:c>
    </x:row>
    <x:row r="15" spans="1:19">
      <x:c r="B15" s="0" t="s">
        <x:v>19</x:v>
      </x:c>
      <x:c r="C15" s="0" t="s">
        <x:v>64</x:v>
      </x:c>
      <x:c r="D15" s="0" t="s">
        <x:v>65</x:v>
      </x:c>
      <x:c r="E15" s="0" t="s">
        <x:v>66</x:v>
      </x:c>
      <x:c r="F15" s="0" t="s">
        <x:v>67</x:v>
      </x:c>
      <x:c r="G15" s="26">
        <x:v>524</x:v>
      </x:c>
      <x:c r="H15" s="26">
        <x:v>20</x:v>
      </x:c>
      <x:c r="I15" s="26">
        <x:f>G15-H15</x:f>
      </x:c>
      <x:c r="J15" s="0" t="s">
        <x:v>24</x:v>
      </x:c>
      <x:c r="K15" s="0" t="s">
        <x:v>24</x:v>
      </x:c>
      <x:c r="L15" s="0" t="s">
        <x:v>25</x:v>
      </x:c>
    </x:row>
    <x:row r="16" spans="1:19">
      <x:c r="B16" s="0" t="s">
        <x:v>19</x:v>
      </x:c>
      <x:c r="C16" s="0" t="s">
        <x:v>68</x:v>
      </x:c>
      <x:c r="D16" s="0" t="s">
        <x:v>69</x:v>
      </x:c>
      <x:c r="E16" s="0" t="s">
        <x:v>70</x:v>
      </x:c>
      <x:c r="F16" s="0" t="s">
        <x:v>40</x:v>
      </x:c>
      <x:c r="G16" s="26">
        <x:v>736</x:v>
      </x:c>
      <x:c r="H16" s="26">
        <x:v>25</x:v>
      </x:c>
      <x:c r="I16" s="26">
        <x:f>G16-H16</x:f>
      </x:c>
      <x:c r="J16" s="0" t="s">
        <x:v>41</x:v>
      </x:c>
      <x:c r="K16" s="0" t="s">
        <x:v>24</x:v>
      </x:c>
      <x:c r="L16" s="0" t="s">
        <x:v>25</x:v>
      </x:c>
    </x:row>
    <x:row r="17" spans="1:19">
      <x:c r="B17" s="0" t="s">
        <x:v>19</x:v>
      </x:c>
      <x:c r="C17" s="0" t="s">
        <x:v>71</x:v>
      </x:c>
      <x:c r="D17" s="0" t="s">
        <x:v>72</x:v>
      </x:c>
      <x:c r="E17" s="0" t="s">
        <x:v>73</x:v>
      </x:c>
      <x:c r="F17" s="0" t="s">
        <x:v>67</x:v>
      </x:c>
      <x:c r="G17" s="26">
        <x:v>2490</x:v>
      </x:c>
      <x:c r="H17" s="26">
        <x:v>20</x:v>
      </x:c>
      <x:c r="I17" s="26">
        <x:f>G17-H17</x:f>
      </x:c>
      <x:c r="J17" s="0" t="s">
        <x:v>24</x:v>
      </x:c>
      <x:c r="K17" s="0" t="s">
        <x:v>24</x:v>
      </x:c>
      <x:c r="L17" s="0" t="s">
        <x:v>25</x:v>
      </x:c>
    </x:row>
    <x:row r="18" spans="1:19">
      <x:c r="B18" s="0" t="s">
        <x:v>19</x:v>
      </x:c>
      <x:c r="C18" s="0" t="s">
        <x:v>74</x:v>
      </x:c>
      <x:c r="D18" s="0" t="s">
        <x:v>75</x:v>
      </x:c>
      <x:c r="E18" s="0" t="s">
        <x:v>76</x:v>
      </x:c>
      <x:c r="F18" s="26">
        <x:v>6</x:v>
      </x:c>
      <x:c r="G18" s="26">
        <x:v>619</x:v>
      </x:c>
      <x:c r="H18" s="26">
        <x:v>25</x:v>
      </x:c>
      <x:c r="I18" s="26">
        <x:f>G18-H18</x:f>
      </x:c>
      <x:c r="J18" s="0" t="s">
        <x:v>29</x:v>
      </x:c>
      <x:c r="K18" s="0" t="s">
        <x:v>24</x:v>
      </x:c>
      <x:c r="L18" s="0" t="s">
        <x:v>25</x:v>
      </x:c>
    </x:row>
    <x:row r="19" spans="1:19">
      <x:c r="B19" s="0" t="s">
        <x:v>19</x:v>
      </x:c>
      <x:c r="C19" s="0" t="s">
        <x:v>77</x:v>
      </x:c>
      <x:c r="D19" s="0" t="s">
        <x:v>78</x:v>
      </x:c>
      <x:c r="E19" s="0" t="s">
        <x:v>79</x:v>
      </x:c>
      <x:c r="F19" s="26">
        <x:v>10</x:v>
      </x:c>
      <x:c r="G19" s="26">
        <x:v>815</x:v>
      </x:c>
      <x:c r="H19" s="26">
        <x:v>25</x:v>
      </x:c>
      <x:c r="I19" s="26">
        <x:f>G19-H19</x:f>
      </x:c>
      <x:c r="J19" s="0" t="s">
        <x:v>41</x:v>
      </x:c>
      <x:c r="K19" s="0" t="s">
        <x:v>24</x:v>
      </x:c>
      <x:c r="L19" s="0" t="s">
        <x:v>25</x:v>
      </x:c>
    </x:row>
    <x:row r="20" spans="1:19">
      <x:c r="B20" s="0" t="s">
        <x:v>19</x:v>
      </x:c>
      <x:c r="C20" s="0" t="s">
        <x:v>20</x:v>
      </x:c>
      <x:c r="D20" s="0" t="s">
        <x:v>80</x:v>
      </x:c>
      <x:c r="E20" s="0" t="s">
        <x:v>81</x:v>
      </x:c>
      <x:c r="F20" s="0" t="s">
        <x:v>23</x:v>
      </x:c>
      <x:c r="G20" s="26">
        <x:v>889</x:v>
      </x:c>
      <x:c r="H20" s="26">
        <x:v>25</x:v>
      </x:c>
      <x:c r="I20" s="26">
        <x:f>G20-H20</x:f>
      </x:c>
      <x:c r="J20" s="0" t="s">
        <x:v>24</x:v>
      </x:c>
      <x:c r="K20" s="0" t="s">
        <x:v>24</x:v>
      </x:c>
      <x:c r="L20" s="0" t="s">
        <x:v>25</x:v>
      </x:c>
    </x:row>
    <x:row r="21" spans="1:19">
      <x:c r="B21" s="0" t="s">
        <x:v>19</x:v>
      </x:c>
      <x:c r="C21" s="0" t="s">
        <x:v>82</x:v>
      </x:c>
      <x:c r="D21" s="0" t="s">
        <x:v>83</x:v>
      </x:c>
      <x:c r="E21" s="0" t="s">
        <x:v>84</x:v>
      </x:c>
      <x:c r="F21" s="26">
        <x:v>8</x:v>
      </x:c>
      <x:c r="G21" s="26">
        <x:v>1492</x:v>
      </x:c>
      <x:c r="H21" s="26">
        <x:v>25</x:v>
      </x:c>
      <x:c r="I21" s="26">
        <x:f>G21-H21</x:f>
      </x:c>
      <x:c r="J21" s="0" t="s">
        <x:v>29</x:v>
      </x:c>
      <x:c r="K21" s="0" t="s">
        <x:v>24</x:v>
      </x:c>
      <x:c r="L21" s="0" t="s">
        <x:v>25</x:v>
      </x:c>
    </x:row>
    <x:row r="22" spans="1:19">
      <x:c r="B22" s="0" t="s">
        <x:v>19</x:v>
      </x:c>
      <x:c r="C22" s="0" t="s">
        <x:v>85</x:v>
      </x:c>
      <x:c r="D22" s="0" t="s">
        <x:v>86</x:v>
      </x:c>
      <x:c r="E22" s="0" t="s">
        <x:v>87</x:v>
      </x:c>
      <x:c r="F22" s="26">
        <x:v>1</x:v>
      </x:c>
      <x:c r="G22" s="26">
        <x:v>367</x:v>
      </x:c>
      <x:c r="H22" s="26">
        <x:v>25</x:v>
      </x:c>
      <x:c r="I22" s="26">
        <x:f>G22-H22</x:f>
      </x:c>
      <x:c r="J22" s="0" t="s">
        <x:v>41</x:v>
      </x:c>
      <x:c r="K22" s="0" t="s">
        <x:v>24</x:v>
      </x:c>
      <x:c r="L22" s="0" t="s">
        <x:v>25</x:v>
      </x:c>
    </x:row>
    <x:row r="23" spans="1:19">
      <x:c r="B23" s="0" t="s">
        <x:v>19</x:v>
      </x:c>
      <x:c r="C23" s="0" t="s">
        <x:v>88</x:v>
      </x:c>
      <x:c r="D23" s="0" t="s">
        <x:v>89</x:v>
      </x:c>
      <x:c r="E23" s="0" t="s">
        <x:v>90</x:v>
      </x:c>
      <x:c r="F23" s="0" t="s">
        <x:v>40</x:v>
      </x:c>
      <x:c r="G23" s="26">
        <x:v>718</x:v>
      </x:c>
      <x:c r="H23" s="26">
        <x:v>25</x:v>
      </x:c>
      <x:c r="I23" s="26">
        <x:f>G23-H23</x:f>
      </x:c>
      <x:c r="J23" s="0" t="s">
        <x:v>41</x:v>
      </x:c>
      <x:c r="K23" s="0" t="s">
        <x:v>24</x:v>
      </x:c>
      <x:c r="L23" s="0" t="s">
        <x:v>25</x:v>
      </x:c>
    </x:row>
    <x:row r="24" spans="1:19">
      <x:c r="B24" s="0" t="s">
        <x:v>19</x:v>
      </x:c>
      <x:c r="C24" s="0" t="s">
        <x:v>91</x:v>
      </x:c>
      <x:c r="D24" s="0" t="s">
        <x:v>92</x:v>
      </x:c>
      <x:c r="E24" s="0" t="s">
        <x:v>93</x:v>
      </x:c>
      <x:c r="F24" s="0" t="s">
        <x:v>23</x:v>
      </x:c>
      <x:c r="G24" s="26">
        <x:v>763</x:v>
      </x:c>
      <x:c r="H24" s="26">
        <x:v>25</x:v>
      </x:c>
      <x:c r="I24" s="26">
        <x:f>G24-H24</x:f>
      </x:c>
      <x:c r="J24" s="0" t="s">
        <x:v>24</x:v>
      </x:c>
      <x:c r="K24" s="0" t="s">
        <x:v>24</x:v>
      </x:c>
      <x:c r="L24" s="0" t="s">
        <x:v>25</x:v>
      </x:c>
    </x:row>
    <x:row r="25" spans="1:19">
      <x:c r="B25" s="0" t="s">
        <x:v>19</x:v>
      </x:c>
      <x:c r="C25" s="0" t="s">
        <x:v>94</x:v>
      </x:c>
      <x:c r="D25" s="0" t="s">
        <x:v>95</x:v>
      </x:c>
      <x:c r="E25" s="0" t="s">
        <x:v>96</x:v>
      </x:c>
      <x:c r="F25" s="26">
        <x:v>12</x:v>
      </x:c>
      <x:c r="G25" s="26">
        <x:v>820</x:v>
      </x:c>
      <x:c r="H25" s="26">
        <x:v>30</x:v>
      </x:c>
      <x:c r="I25" s="26">
        <x:f>G25-H25</x:f>
      </x:c>
      <x:c r="J25" s="0" t="s">
        <x:v>29</x:v>
      </x:c>
      <x:c r="K25" s="0" t="s">
        <x:v>24</x:v>
      </x:c>
      <x:c r="L25" s="0" t="s">
        <x:v>25</x:v>
      </x:c>
    </x:row>
    <x:row r="26" spans="1:19">
      <x:c r="B26" s="0" t="s">
        <x:v>19</x:v>
      </x:c>
      <x:c r="C26" s="0" t="s">
        <x:v>97</x:v>
      </x:c>
      <x:c r="D26" s="0" t="s">
        <x:v>98</x:v>
      </x:c>
      <x:c r="E26" s="0" t="s">
        <x:v>99</x:v>
      </x:c>
      <x:c r="F26" s="0" t="s">
        <x:v>67</x:v>
      </x:c>
      <x:c r="G26" s="26">
        <x:v>840</x:v>
      </x:c>
      <x:c r="H26" s="26">
        <x:v>20</x:v>
      </x:c>
      <x:c r="I26" s="26">
        <x:f>G26-H26</x:f>
      </x:c>
      <x:c r="J26" s="0" t="s">
        <x:v>24</x:v>
      </x:c>
      <x:c r="K26" s="0" t="s">
        <x:v>24</x:v>
      </x:c>
      <x:c r="L26" s="0" t="s">
        <x:v>25</x:v>
      </x:c>
    </x:row>
    <x:row r="27" spans="1:19">
      <x:c r="B27" s="0" t="s">
        <x:v>19</x:v>
      </x:c>
      <x:c r="C27" s="0" t="s">
        <x:v>100</x:v>
      </x:c>
      <x:c r="D27" s="0" t="s">
        <x:v>101</x:v>
      </x:c>
      <x:c r="E27" s="0" t="s">
        <x:v>102</x:v>
      </x:c>
      <x:c r="F27" s="26">
        <x:v>8</x:v>
      </x:c>
      <x:c r="G27" s="26">
        <x:v>736</x:v>
      </x:c>
      <x:c r="H27" s="26">
        <x:v>25</x:v>
      </x:c>
      <x:c r="I27" s="26">
        <x:f>G27-H27</x:f>
      </x:c>
      <x:c r="J27" s="0" t="s">
        <x:v>29</x:v>
      </x:c>
      <x:c r="K27" s="0" t="s">
        <x:v>24</x:v>
      </x:c>
      <x:c r="L27" s="0" t="s">
        <x:v>25</x:v>
      </x:c>
    </x:row>
    <x:row r="28" spans="1:19">
      <x:c r="B28" s="0" t="s">
        <x:v>19</x:v>
      </x:c>
      <x:c r="C28" s="0" t="s">
        <x:v>103</x:v>
      </x:c>
      <x:c r="D28" s="0" t="s">
        <x:v>104</x:v>
      </x:c>
      <x:c r="E28" s="0" t="s">
        <x:v>105</x:v>
      </x:c>
      <x:c r="F28" s="0" t="s">
        <x:v>40</x:v>
      </x:c>
      <x:c r="G28" s="26">
        <x:v>845</x:v>
      </x:c>
      <x:c r="H28" s="26">
        <x:v>25</x:v>
      </x:c>
      <x:c r="I28" s="26">
        <x:f>G28-H28</x:f>
      </x:c>
      <x:c r="J28" s="0" t="s">
        <x:v>41</x:v>
      </x:c>
      <x:c r="K28" s="0" t="s">
        <x:v>24</x:v>
      </x:c>
      <x:c r="L28" s="0" t="s">
        <x:v>25</x:v>
      </x:c>
    </x:row>
    <x:row r="29" spans="1:19">
      <x:c r="B29" s="0" t="s">
        <x:v>19</x:v>
      </x:c>
      <x:c r="C29" s="0" t="s">
        <x:v>106</x:v>
      </x:c>
      <x:c r="D29" s="0" t="s">
        <x:v>107</x:v>
      </x:c>
      <x:c r="E29" s="0" t="s">
        <x:v>108</x:v>
      </x:c>
      <x:c r="F29" s="26">
        <x:v>10</x:v>
      </x:c>
      <x:c r="G29" s="26">
        <x:v>799</x:v>
      </x:c>
      <x:c r="H29" s="26">
        <x:v>25</x:v>
      </x:c>
      <x:c r="I29" s="26">
        <x:f>G29-H29</x:f>
      </x:c>
      <x:c r="J29" s="0" t="s">
        <x:v>41</x:v>
      </x:c>
      <x:c r="K29" s="0" t="s">
        <x:v>24</x:v>
      </x:c>
      <x:c r="L29" s="0" t="s">
        <x:v>25</x:v>
      </x:c>
    </x:row>
    <x:row r="30" spans="1:19">
      <x:c r="B30" s="0" t="s">
        <x:v>19</x:v>
      </x:c>
      <x:c r="C30" s="0" t="s">
        <x:v>109</x:v>
      </x:c>
      <x:c r="D30" s="0" t="s">
        <x:v>110</x:v>
      </x:c>
      <x:c r="E30" s="0" t="s">
        <x:v>111</x:v>
      </x:c>
      <x:c r="F30" s="0" t="s">
        <x:v>112</x:v>
      </x:c>
      <x:c r="G30" s="26">
        <x:v>911</x:v>
      </x:c>
      <x:c r="H30" s="26">
        <x:v>20</x:v>
      </x:c>
      <x:c r="I30" s="26">
        <x:f>G30-H30</x:f>
      </x:c>
      <x:c r="J30" s="0" t="s">
        <x:v>24</x:v>
      </x:c>
      <x:c r="K30" s="0" t="s">
        <x:v>24</x:v>
      </x:c>
      <x:c r="L30" s="0" t="s">
        <x:v>25</x:v>
      </x:c>
    </x:row>
    <x:row r="31" spans="1:19">
      <x:c r="B31" s="0" t="s">
        <x:v>19</x:v>
      </x:c>
      <x:c r="C31" s="0" t="s">
        <x:v>113</x:v>
      </x:c>
      <x:c r="D31" s="0" t="s">
        <x:v>114</x:v>
      </x:c>
      <x:c r="E31" s="0" t="s">
        <x:v>115</x:v>
      </x:c>
      <x:c r="F31" s="0" t="s">
        <x:v>67</x:v>
      </x:c>
      <x:c r="G31" s="26">
        <x:v>731</x:v>
      </x:c>
      <x:c r="H31" s="26">
        <x:v>20</x:v>
      </x:c>
      <x:c r="I31" s="26">
        <x:f>G31-H31</x:f>
      </x:c>
      <x:c r="J31" s="0" t="s">
        <x:v>24</x:v>
      </x:c>
      <x:c r="K31" s="0" t="s">
        <x:v>24</x:v>
      </x:c>
      <x:c r="L31" s="0" t="s">
        <x:v>25</x:v>
      </x:c>
    </x:row>
    <x:row r="32" spans="1:19">
      <x:c r="B32" s="0" t="s">
        <x:v>19</x:v>
      </x:c>
      <x:c r="C32" s="0" t="s">
        <x:v>116</x:v>
      </x:c>
      <x:c r="D32" s="0" t="s">
        <x:v>117</x:v>
      </x:c>
      <x:c r="E32" s="0" t="s">
        <x:v>118</x:v>
      </x:c>
      <x:c r="F32" s="0" t="s">
        <x:v>40</x:v>
      </x:c>
      <x:c r="G32" s="26">
        <x:v>718</x:v>
      </x:c>
      <x:c r="H32" s="26">
        <x:v>25</x:v>
      </x:c>
      <x:c r="I32" s="26">
        <x:f>G32-H32</x:f>
      </x:c>
      <x:c r="J32" s="0" t="s">
        <x:v>41</x:v>
      </x:c>
      <x:c r="K32" s="0" t="s">
        <x:v>24</x:v>
      </x:c>
      <x:c r="L32" s="0" t="s">
        <x:v>25</x:v>
      </x:c>
    </x:row>
    <x:row r="33" spans="1:19">
      <x:c r="B33" s="0" t="s">
        <x:v>19</x:v>
      </x:c>
      <x:c r="C33" s="0" t="s">
        <x:v>119</x:v>
      </x:c>
      <x:c r="D33" s="0" t="s">
        <x:v>120</x:v>
      </x:c>
      <x:c r="E33" s="0" t="s">
        <x:v>121</x:v>
      </x:c>
      <x:c r="F33" s="0" t="s">
        <x:v>40</x:v>
      </x:c>
      <x:c r="G33" s="26">
        <x:v>907</x:v>
      </x:c>
      <x:c r="H33" s="26">
        <x:v>25</x:v>
      </x:c>
      <x:c r="I33" s="26">
        <x:f>G33-H33</x:f>
      </x:c>
      <x:c r="J33" s="0" t="s">
        <x:v>41</x:v>
      </x:c>
      <x:c r="K33" s="0" t="s">
        <x:v>24</x:v>
      </x:c>
      <x:c r="L33" s="0" t="s">
        <x:v>25</x:v>
      </x:c>
    </x:row>
    <x:row r="34" spans="1:19">
      <x:c r="A34" s="0" t="s">
        <x:v>122</x:v>
      </x:c>
      <x:c r="B34" s="0" t="s">
        <x:v>19</x:v>
      </x:c>
      <x:c r="C34" s="0" t="s">
        <x:v>123</x:v>
      </x:c>
      <x:c r="E34" s="0" t="s">
        <x:v>124</x:v>
      </x:c>
      <x:c r="F34" s="26">
        <x:v>6</x:v>
      </x:c>
      <x:c r="G34" s="26">
        <x:v>0</x:v>
      </x:c>
      <x:c r="H34" s="26">
        <x:v>25</x:v>
      </x:c>
      <x:c r="I34" s="26">
        <x:f>-H34</x:f>
      </x:c>
      <x:c r="J34" s="0" t="s">
        <x:v>29</x:v>
      </x:c>
      <x:c r="K34" s="0" t="s">
        <x:v>24</x:v>
      </x:c>
      <x:c r="L34" s="0" t="s">
        <x:v>125</x:v>
      </x:c>
    </x:row>
    <x:row r="35" spans="1:19">
      <x:c r="A35" s="0" t="s">
        <x:v>122</x:v>
      </x:c>
      <x:c r="B35" s="0" t="s">
        <x:v>19</x:v>
      </x:c>
      <x:c r="C35" s="0" t="s">
        <x:v>126</x:v>
      </x:c>
      <x:c r="E35" s="0" t="s">
        <x:v>127</x:v>
      </x:c>
      <x:c r="F35" s="0" t="s">
        <x:v>40</x:v>
      </x:c>
      <x:c r="G35" s="26">
        <x:v>0</x:v>
      </x:c>
      <x:c r="H35" s="26">
        <x:v>25</x:v>
      </x:c>
      <x:c r="I35" s="26">
        <x:f>H35</x:f>
      </x:c>
      <x:c r="J35" s="0" t="s">
        <x:v>41</x:v>
      </x:c>
      <x:c r="K35" s="0" t="s">
        <x:v>24</x:v>
      </x:c>
      <x:c r="L35" s="0" t="s">
        <x:v>125</x:v>
      </x:c>
    </x:row>
    <x:row r="36" spans="1:19">
      <x:c r="A36" s="0" t="s">
        <x:v>122</x:v>
      </x:c>
      <x:c r="B36" s="0" t="s">
        <x:v>19</x:v>
      </x:c>
      <x:c r="C36" s="0" t="s">
        <x:v>128</x:v>
      </x:c>
      <x:c r="E36" s="0" t="s">
        <x:v>129</x:v>
      </x:c>
      <x:c r="F36" s="0" t="s">
        <x:v>130</x:v>
      </x:c>
      <x:c r="G36" s="26">
        <x:v>0</x:v>
      </x:c>
      <x:c r="H36" s="26">
        <x:v>30</x:v>
      </x:c>
      <x:c r="I36" s="26">
        <x:f>H36</x:f>
      </x:c>
      <x:c r="J36" s="0" t="s">
        <x:v>131</x:v>
      </x:c>
      <x:c r="K36" s="0" t="s">
        <x:v>24</x:v>
      </x:c>
      <x:c r="L36" s="0" t="s">
        <x:v>125</x:v>
      </x:c>
    </x:row>
    <x:row r="37" spans="1:19">
      <x:c r="A37" s="0" t="s">
        <x:v>122</x:v>
      </x:c>
      <x:c r="B37" s="0" t="s">
        <x:v>19</x:v>
      </x:c>
      <x:c r="C37" s="0" t="s">
        <x:v>132</x:v>
      </x:c>
      <x:c r="E37" s="0" t="s">
        <x:v>133</x:v>
      </x:c>
      <x:c r="F37" s="0" t="s">
        <x:v>23</x:v>
      </x:c>
      <x:c r="G37" s="26">
        <x:v>7310</x:v>
      </x:c>
      <x:c r="H37" s="26">
        <x:v>30</x:v>
      </x:c>
      <x:c r="I37" s="26">
        <x:f>G37-H37</x:f>
      </x:c>
      <x:c r="J37" s="0" t="s">
        <x:v>24</x:v>
      </x:c>
      <x:c r="K37" s="0" t="s">
        <x:v>24</x:v>
      </x:c>
      <x:c r="L37" s="0" t="s">
        <x:v>125</x:v>
      </x:c>
    </x:row>
    <x:row r="38" spans="1:19">
      <x:c r="A38" s="0" t="s">
        <x:v>122</x:v>
      </x:c>
      <x:c r="B38" s="0" t="s">
        <x:v>19</x:v>
      </x:c>
      <x:c r="C38" s="0" t="s">
        <x:v>134</x:v>
      </x:c>
      <x:c r="E38" s="0" t="s">
        <x:v>135</x:v>
      </x:c>
      <x:c r="F38" s="0" t="s">
        <x:v>40</x:v>
      </x:c>
      <x:c r="G38" s="26">
        <x:v>0</x:v>
      </x:c>
      <x:c r="H38" s="26">
        <x:v>25</x:v>
      </x:c>
      <x:c r="I38" s="26">
        <x:f>H38</x:f>
      </x:c>
      <x:c r="J38" s="0" t="s">
        <x:v>41</x:v>
      </x:c>
      <x:c r="K38" s="0" t="s">
        <x:v>24</x:v>
      </x:c>
      <x:c r="L38" s="0" t="s">
        <x:v>125</x:v>
      </x:c>
    </x:row>
    <x:row r="40" spans="1:19">
      <x:c r="D40" s="27">
        <x:f>COUNTA(D3:D38)</x:f>
      </x:c>
      <x:c r="G40" s="27">
        <x:f>SUBTOTAL(9,G3:G38)</x:f>
      </x:c>
      <x:c r="H40" s="27">
        <x:f>SUBTOTAL(9,H3:H38)</x:f>
      </x:c>
      <x:c r="I40" s="27">
        <x:f>SUBTOTAL(9,I3:I38)</x:f>
      </x:c>
      <x:c r="J40" s="27">
        <x:f>SUBTOTAL(9,J3:J38)</x:f>
      </x:c>
      <x:c r="K40" s="27">
        <x:f>SUBTOTAL(9,K3:K38)</x:f>
      </x:c>
      <x:c r="L40" s="27">
        <x:f>SUBTOTAL(9,L3:L38)</x:f>
      </x:c>
      <x:c r="M40" s="27">
        <x:f>SUBTOTAL(9,M3:M38)</x:f>
      </x:c>
      <x:c r="N40" s="27">
        <x:f>SUBTOTAL(9,N3:N38)</x:f>
      </x:c>
      <x:c r="O40" s="27">
        <x:f>SUBTOTAL(9,O3:O38)</x:f>
      </x:c>
      <x:c r="P40" s="27">
        <x:f>SUBTOTAL(9,P3:P38)</x:f>
      </x:c>
      <x:c r="Q40" s="27">
        <x:f>SUBTOTAL(9,Q3:Q38)</x:f>
      </x:c>
      <x:c r="R40" s="27">
        <x:f>SUBTOTAL(9,R3:R38)</x:f>
      </x:c>
      <x:c r="S40" s="27">
        <x:f>SUBTOTAL(9,S3:S38)</x:f>
      </x:c>
    </x:row>
    <x:row r="42" spans="1:19">
      <x:c r="A42" s="27" t="s">
        <x:v>19</x:v>
      </x:c>
      <x:c r="C42" s="28" t="s">
        <x:v>136</x:v>
      </x:c>
      <x:c r="E42" s="28" t="s">
        <x:v>137</x:v>
      </x:c>
      <x:c r="J42" s="29" t="s">
        <x:v>24</x:v>
      </x:c>
      <x:c r="K42" s="29" t="s">
        <x:v>138</x:v>
      </x:c>
      <x:c r="L42" s="29" t="s">
        <x:v>137</x:v>
      </x:c>
    </x:row>
    <x:row r="43" spans="1:19">
      <x:c r="A43" s="0" t="s">
        <x:v>25</x:v>
      </x:c>
      <x:c r="B43" s="0" t="s">
        <x:v>139</x:v>
      </x:c>
      <x:c r="C43" s="0">
        <x:f>SUMIFS(G$3:G$38,B$3:B$38,$A$42,L$3:L$38,$A$43)</x:f>
      </x:c>
      <x:c r="E43" s="0">
        <x:f>COUNTIFS(D$3:D$38,"&lt;&gt;",B$3:B$38,$A$42,L$3:L$38,$A$43)</x:f>
      </x:c>
      <x:c r="J43" s="0" t="s">
        <x:v>140</x:v>
      </x:c>
      <x:c r="K43" s="0">
        <x:f>SUMIFS(G$3:G$38,J$3:J$38,"c.cuong")</x:f>
      </x:c>
      <x:c r="L43" s="0">
        <x:f>COUNTIFS(D$3:D$38,"&lt;&gt;",J$3:J$38,"c.cuong")</x:f>
      </x:c>
    </x:row>
    <x:row r="44" spans="1:19">
      <x:c r="B44" s="0" t="s">
        <x:v>141</x:v>
      </x:c>
      <x:c r="C44" s="0">
        <x:f>-SUMIFS(H$3:H$38,B$3:B$38,$A$42,L$3:L$38,$A$43)</x:f>
      </x:c>
      <x:c r="J44" s="0" t="s">
        <x:v>142</x:v>
      </x:c>
    </x:row>
    <x:row r="45" spans="1:19">
      <x:c r="B45" s="16" t="s">
        <x:v>143</x:v>
      </x:c>
      <x:c r="J45" s="0" t="s">
        <x:v>144</x:v>
      </x:c>
    </x:row>
    <x:row r="46" spans="1:19">
      <x:c r="B46" s="0" t="s">
        <x:v>145</x:v>
      </x:c>
      <x:c r="C46" s="0">
        <x:f>SUBTOTAL(9,C43:C45)</x:f>
      </x:c>
      <x:c r="E46" s="0">
        <x:f>E43</x:f>
      </x:c>
      <x:c r="J46" s="16" t="s">
        <x:v>146</x:v>
      </x:c>
    </x:row>
    <x:row r="47" spans="1:19">
      <x:c r="B47" s="16" t="s">
        <x:v>147</x:v>
      </x:c>
      <x:c r="J47" s="16" t="s">
        <x:v>148</x:v>
      </x:c>
    </x:row>
    <x:row r="48" spans="1:19">
      <x:c r="B48" s="16" t="s">
        <x:v>149</x:v>
      </x:c>
      <x:c r="K48" s="30">
        <x:f>SUBTOTAL(9,K43:K47)</x:f>
      </x:c>
      <x:c r="L48" s="30">
        <x:f>L43</x:f>
      </x:c>
    </x:row>
    <x:row r="49" spans="1:19">
      <x:c r="B49" s="31" t="s">
        <x:v>150</x:v>
      </x:c>
      <x:c r="C49" s="31">
        <x:f>C46+C47+C48</x:f>
      </x:c>
      <x:c r="E49" s="0" t="s">
        <x:v>151</x:v>
      </x:c>
    </x:row>
    <x:row r="50" spans="1:19">
      <x:c r="J50" s="29" t="s">
        <x:v>29</x:v>
      </x:c>
      <x:c r="K50" s="29" t="s">
        <x:v>138</x:v>
      </x:c>
      <x:c r="L50" s="29" t="s">
        <x:v>137</x:v>
      </x:c>
    </x:row>
    <x:row r="51" spans="1:19">
      <x:c r="A51" s="27" t="s">
        <x:v>19</x:v>
      </x:c>
      <x:c r="C51" s="28" t="s">
        <x:v>136</x:v>
      </x:c>
      <x:c r="E51" s="28" t="s">
        <x:v>137</x:v>
      </x:c>
      <x:c r="J51" s="0" t="s">
        <x:v>140</x:v>
      </x:c>
      <x:c r="K51" s="0">
        <x:f>SUMIFS(G$3:G$38,J$3:J$38,"An Tam")</x:f>
      </x:c>
      <x:c r="L51" s="0">
        <x:f>COUNTIFS(D$3:D$38,"&lt;&gt;",J$3:J$38,"An Tam")</x:f>
      </x:c>
    </x:row>
    <x:row r="52" spans="1:19">
      <x:c r="A52" s="0" t="s">
        <x:v>125</x:v>
      </x:c>
      <x:c r="B52" s="0" t="s">
        <x:v>139</x:v>
      </x:c>
      <x:c r="C52" s="0">
        <x:f>SUMIFS(G$3:G$38,B$3:B$38,$A$51,L$3:L$38,$A$52)</x:f>
      </x:c>
      <x:c r="E52" s="0">
        <x:f>COUNTIFS(D$3:D$38,"&lt;&gt;",B$3:B$38,$A$51,L$3:L$38,$A$52)</x:f>
      </x:c>
      <x:c r="J52" s="0" t="s">
        <x:v>142</x:v>
      </x:c>
    </x:row>
    <x:row r="53" spans="1:19">
      <x:c r="B53" s="0" t="s">
        <x:v>141</x:v>
      </x:c>
      <x:c r="C53" s="0">
        <x:f>-SUMIFS(H$3:H$38,B$3:B$38,$A$51,L$3:L$38,$A$52)</x:f>
      </x:c>
      <x:c r="J53" s="0" t="s">
        <x:v>144</x:v>
      </x:c>
    </x:row>
    <x:row r="54" spans="1:19">
      <x:c r="B54" s="16" t="s">
        <x:v>143</x:v>
      </x:c>
      <x:c r="J54" s="16" t="s">
        <x:v>146</x:v>
      </x:c>
    </x:row>
    <x:row r="55" spans="1:19">
      <x:c r="B55" s="0" t="s">
        <x:v>145</x:v>
      </x:c>
      <x:c r="C55" s="0">
        <x:f>SUBTOTAL(9,C52:C54)</x:f>
      </x:c>
      <x:c r="E55" s="0">
        <x:f>E52</x:f>
      </x:c>
      <x:c r="J55" s="16" t="s">
        <x:v>148</x:v>
      </x:c>
    </x:row>
    <x:row r="56" spans="1:19">
      <x:c r="B56" s="16" t="s">
        <x:v>147</x:v>
      </x:c>
      <x:c r="K56" s="30">
        <x:f>SUBTOTAL(9,K51:K55)</x:f>
      </x:c>
      <x:c r="L56" s="30">
        <x:f>L51</x:f>
      </x:c>
    </x:row>
    <x:row r="57" spans="1:19">
      <x:c r="B57" s="16" t="s">
        <x:v>149</x:v>
      </x:c>
    </x:row>
    <x:row r="58" spans="1:19">
      <x:c r="B58" s="31" t="s">
        <x:v>150</x:v>
      </x:c>
      <x:c r="C58" s="31">
        <x:f>C55+C56+C57</x:f>
      </x:c>
      <x:c r="E58" s="0" t="s">
        <x:v>151</x:v>
      </x:c>
      <x:c r="J58" s="29" t="s">
        <x:v>41</x:v>
      </x:c>
      <x:c r="K58" s="29" t="s">
        <x:v>138</x:v>
      </x:c>
      <x:c r="L58" s="29" t="s">
        <x:v>137</x:v>
      </x:c>
    </x:row>
    <x:row r="59" spans="1:19">
      <x:c r="J59" s="0" t="s">
        <x:v>140</x:v>
      </x:c>
      <x:c r="K59" s="0">
        <x:f>SUMIFS(G$3:G$38,J$3:J$38,"c.hieu")</x:f>
      </x:c>
      <x:c r="L59" s="0">
        <x:f>COUNTIFS(D$3:D$38,"&lt;&gt;",J$3:J$38,"c.hieu")</x:f>
      </x:c>
    </x:row>
    <x:row r="60" spans="1:19">
      <x:c r="J60" s="0" t="s">
        <x:v>142</x:v>
      </x:c>
    </x:row>
    <x:row r="61" spans="1:19">
      <x:c r="J61" s="0" t="s">
        <x:v>144</x:v>
      </x:c>
    </x:row>
    <x:row r="62" spans="1:19">
      <x:c r="J62" s="16" t="s">
        <x:v>146</x:v>
      </x:c>
    </x:row>
    <x:row r="63" spans="1:19">
      <x:c r="J63" s="16" t="s">
        <x:v>148</x:v>
      </x:c>
    </x:row>
    <x:row r="64" spans="1:19">
      <x:c r="K64" s="30">
        <x:f>SUBTOTAL(9,K59:K63)</x:f>
      </x:c>
      <x:c r="L64" s="30">
        <x:f>L59</x:f>
      </x:c>
    </x:row>
    <x:row r="66" spans="1:19">
      <x:c r="J66" s="29" t="s">
        <x:v>131</x:v>
      </x:c>
      <x:c r="K66" s="29" t="s">
        <x:v>138</x:v>
      </x:c>
      <x:c r="L66" s="29" t="s">
        <x:v>137</x:v>
      </x:c>
    </x:row>
    <x:row r="67" spans="1:19">
      <x:c r="J67" s="0" t="s">
        <x:v>140</x:v>
      </x:c>
      <x:c r="K67" s="0">
        <x:f>SUMIFS(G$3:G$38,J$3:J$38,"a.quyen")</x:f>
      </x:c>
      <x:c r="L67" s="0">
        <x:f>COUNTIFS(D$3:D$38,"&lt;&gt;",J$3:J$38,"a.quyen")</x:f>
      </x:c>
    </x:row>
    <x:row r="68" spans="1:19">
      <x:c r="J68" s="0" t="s">
        <x:v>142</x:v>
      </x:c>
    </x:row>
    <x:row r="69" spans="1:19">
      <x:c r="J69" s="0" t="s">
        <x:v>144</x:v>
      </x:c>
    </x:row>
    <x:row r="70" spans="1:19">
      <x:c r="J70" s="16" t="s">
        <x:v>146</x:v>
      </x:c>
    </x:row>
    <x:row r="71" spans="1:19">
      <x:c r="J71" s="16" t="s">
        <x:v>148</x:v>
      </x:c>
    </x:row>
    <x:row r="72" spans="1:19">
      <x:c r="K72" s="30">
        <x:f>SUBTOTAL(9,K67:K71)</x:f>
      </x:c>
      <x:c r="L72" s="30">
        <x:f>L67</x:f>
      </x:c>
    </x:row>
  </x:sheetData>
  <x:autoFilter ref="A2:P3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27-02</vt:lpstr>
      <vt:lpstr>27-02!Print_Area</vt:lpstr>
      <vt:lpstr>27-02!Print_Titles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Sei Pham</lastModifiedBy>
  <dcterms:created xsi:type="dcterms:W3CDTF">2026-03-03T16:13:52.0000000Z</dcterms:created>
  <dcterms:modified xsi:type="dcterms:W3CDTF">2026-03-08T14:25:28.0000000Z</dcterms:modified>
</coreProperties>
</file>